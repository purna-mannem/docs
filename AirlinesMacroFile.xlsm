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updateLinks="never" codeName="ThisWorkbook"/>
  <xr:revisionPtr revIDLastSave="0" documentId="13_ncr:1_{4C267202-B8B4-4EFA-B0DF-F274C53A7D02}" xr6:coauthVersionLast="44" xr6:coauthVersionMax="44" xr10:uidLastSave="{00000000-0000-0000-0000-000000000000}"/>
  <bookViews>
    <workbookView xWindow="3420" yWindow="3420" windowWidth="21600" windowHeight="11160" activeTab="4" xr2:uid="{00000000-000D-0000-FFFF-FFFF00000000}"/>
  </bookViews>
  <sheets>
    <sheet name="MJV" sheetId="6" r:id="rId1"/>
    <sheet name="MJV Macro" sheetId="8" r:id="rId2"/>
    <sheet name="Report" sheetId="10" r:id="rId3"/>
    <sheet name="Airline_Master" sheetId="3" r:id="rId4"/>
    <sheet name="Config" sheetId="4" r:id="rId5"/>
  </sheets>
  <functionGroups builtInGroupCount="19"/>
  <externalReferences>
    <externalReference r:id="rId6"/>
  </externalReferences>
  <definedNames>
    <definedName name="_xlnm._FilterDatabase" localSheetId="3" hidden="1">Airline_Master!$A$1:$G$17</definedName>
    <definedName name="AssetClass">#REF!</definedName>
    <definedName name="CCCode">#REF!</definedName>
    <definedName name="CompanyCode">#REF!</definedName>
    <definedName name="CountryCode">#REF!</definedName>
    <definedName name="DepKey">#REF!</definedName>
    <definedName name="HierarchyArea">#REF!</definedName>
    <definedName name="OrderType">#REF!</definedName>
    <definedName name="PCCode">#REF!</definedName>
    <definedName name="Postings">#REF!</definedName>
    <definedName name="RegionCode">#REF!</definedName>
    <definedName name="Settlement">#REF!</definedName>
    <definedName name="Yes_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" i="10" l="1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X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Y2" i="10"/>
  <c r="X2" i="10"/>
</calcChain>
</file>

<file path=xl/sharedStrings.xml><?xml version="1.0" encoding="utf-8"?>
<sst xmlns="http://schemas.openxmlformats.org/spreadsheetml/2006/main" count="4704" uniqueCount="892">
  <si>
    <t>AirlineName</t>
    <phoneticPr fontId="0"/>
  </si>
  <si>
    <t>Sender Address</t>
    <phoneticPr fontId="0"/>
  </si>
  <si>
    <t>subject</t>
    <phoneticPr fontId="0"/>
  </si>
  <si>
    <t>text to find in body</t>
    <phoneticPr fontId="0"/>
  </si>
  <si>
    <t>Shared folder path</t>
    <phoneticPr fontId="0"/>
  </si>
  <si>
    <t>Box sync folder path</t>
    <phoneticPr fontId="0"/>
  </si>
  <si>
    <t xml:space="preserve">Cathay </t>
    <phoneticPr fontId="0"/>
  </si>
  <si>
    <t>CX_GST_TAX_INVOICE@SUTHERLANDGLOBAL.COM</t>
    <phoneticPr fontId="0"/>
  </si>
  <si>
    <t>Cathay Pacific Airlines GST</t>
    <phoneticPr fontId="0"/>
  </si>
  <si>
    <t>Cathay Pacific Airlines</t>
    <phoneticPr fontId="0"/>
  </si>
  <si>
    <t xml:space="preserve">Malaysia </t>
    <phoneticPr fontId="0"/>
  </si>
  <si>
    <t>noreply_Indiataxinv@malaysiaairlines.com</t>
    <phoneticPr fontId="0"/>
  </si>
  <si>
    <t>Malaysia Airlines GST</t>
    <phoneticPr fontId="0"/>
  </si>
  <si>
    <t>Malaysia Airlines</t>
    <phoneticPr fontId="0"/>
  </si>
  <si>
    <t xml:space="preserve">Qatar </t>
    <phoneticPr fontId="0"/>
  </si>
  <si>
    <t>gstinvoices@in.qatarairways.com</t>
    <phoneticPr fontId="0"/>
  </si>
  <si>
    <t>Tax Invoice for your Booking</t>
    <phoneticPr fontId="0"/>
  </si>
  <si>
    <t>Qatar Airways</t>
    <phoneticPr fontId="0"/>
  </si>
  <si>
    <t>Air France</t>
    <phoneticPr fontId="0"/>
  </si>
  <si>
    <t>afgstinvoices@megasoftsol.com</t>
    <phoneticPr fontId="0"/>
  </si>
  <si>
    <t>KLM</t>
    <phoneticPr fontId="0"/>
  </si>
  <si>
    <t>klmgstinvoices@megasoftsol.com</t>
    <phoneticPr fontId="0"/>
  </si>
  <si>
    <t>KLM GST</t>
    <phoneticPr fontId="0"/>
  </si>
  <si>
    <t xml:space="preserve">SpiceJet </t>
    <phoneticPr fontId="0"/>
  </si>
  <si>
    <t>no-reply@spicejet.com</t>
    <phoneticPr fontId="0"/>
  </si>
  <si>
    <t>SpiceJet Invoice PNR</t>
    <phoneticPr fontId="0"/>
  </si>
  <si>
    <t>Team SpiceJet</t>
    <phoneticPr fontId="0"/>
  </si>
  <si>
    <t>body is in image</t>
    <phoneticPr fontId="0"/>
  </si>
  <si>
    <t>Singapore</t>
    <phoneticPr fontId="0"/>
  </si>
  <si>
    <t>yogeshkbehl@sqingst.com</t>
    <phoneticPr fontId="0"/>
  </si>
  <si>
    <t>Singapore Airlines Limited | GST</t>
    <phoneticPr fontId="0"/>
  </si>
  <si>
    <t>Singapore Airlines Limited</t>
    <phoneticPr fontId="0"/>
  </si>
  <si>
    <t>Emirates</t>
    <phoneticPr fontId="0"/>
  </si>
  <si>
    <t>donotreply-gstinvoices@emirates.com</t>
    <phoneticPr fontId="0"/>
  </si>
  <si>
    <t xml:space="preserve">GST invoices for the month of </t>
    <phoneticPr fontId="0"/>
  </si>
  <si>
    <t xml:space="preserve">Emirates </t>
    <phoneticPr fontId="0"/>
  </si>
  <si>
    <t>Indigo</t>
    <phoneticPr fontId="0"/>
  </si>
  <si>
    <t>6EGSTInvoice@goindigo.in</t>
    <phoneticPr fontId="0"/>
  </si>
  <si>
    <t xml:space="preserve">TaxInvoice - </t>
    <phoneticPr fontId="0"/>
  </si>
  <si>
    <t>GoIndigo</t>
    <phoneticPr fontId="0"/>
  </si>
  <si>
    <t>THAI</t>
    <phoneticPr fontId="0"/>
  </si>
  <si>
    <t>tax_india@thaiairways.com</t>
    <phoneticPr fontId="0"/>
  </si>
  <si>
    <t>Thai Airways Tax Invoice</t>
    <phoneticPr fontId="0"/>
  </si>
  <si>
    <t>Thai Airways</t>
    <phoneticPr fontId="0"/>
  </si>
  <si>
    <t>United Airlines Inc</t>
    <phoneticPr fontId="0"/>
  </si>
  <si>
    <t>GST@united.com</t>
    <phoneticPr fontId="0"/>
  </si>
  <si>
    <t>United Airlines GST</t>
    <phoneticPr fontId="0"/>
  </si>
  <si>
    <t>Tata Sia Airlines</t>
    <phoneticPr fontId="0"/>
  </si>
  <si>
    <t>gst.ra1@airvistara.com</t>
    <phoneticPr fontId="0"/>
  </si>
  <si>
    <t>Your GST Invoice</t>
    <phoneticPr fontId="0"/>
  </si>
  <si>
    <t>Vistara</t>
    <phoneticPr fontId="0"/>
  </si>
  <si>
    <t>Etihad Airways</t>
    <phoneticPr fontId="0"/>
  </si>
  <si>
    <t>etihadinvoicing@cnkindia.com</t>
    <phoneticPr fontId="0"/>
  </si>
  <si>
    <t>(Invoice for the month</t>
    <phoneticPr fontId="0"/>
  </si>
  <si>
    <t>SWISS</t>
    <phoneticPr fontId="0"/>
  </si>
  <si>
    <t>gstin.swiss@ssiipl.com</t>
    <phoneticPr fontId="0"/>
  </si>
  <si>
    <t>Swiss International Airlines Ltd GST</t>
    <phoneticPr fontId="0"/>
  </si>
  <si>
    <t>Swiss International Airlines Ltd</t>
    <phoneticPr fontId="0"/>
  </si>
  <si>
    <t>Lufthansa German Airlines</t>
  </si>
  <si>
    <t>BaseBoxFolderPath</t>
  </si>
  <si>
    <t>BasePDFsSharedDrivePath</t>
  </si>
  <si>
    <t>Lufthansa</t>
  </si>
  <si>
    <t xml:space="preserve">Lufthansa </t>
  </si>
  <si>
    <t>gstin.lufthansa@ssiipl.com</t>
  </si>
  <si>
    <t>Open CSV</t>
  </si>
  <si>
    <t>Oman Air</t>
  </si>
  <si>
    <t>BaseCSVfilesPath_1</t>
  </si>
  <si>
    <t>Etihad</t>
  </si>
  <si>
    <t>Tata Sia</t>
  </si>
  <si>
    <t>United</t>
  </si>
  <si>
    <t>Oman</t>
  </si>
  <si>
    <t>Journal Entries Template</t>
  </si>
  <si>
    <t>Company Code</t>
  </si>
  <si>
    <t>IN12</t>
  </si>
  <si>
    <t>Document Type</t>
  </si>
  <si>
    <t>SA  G/L account document</t>
  </si>
  <si>
    <t>Journal Type*:</t>
  </si>
  <si>
    <t>Journal No.</t>
  </si>
  <si>
    <t>Remarks (if any)</t>
  </si>
  <si>
    <t>Accrual with auto reversal</t>
  </si>
  <si>
    <t>Recurring Journal</t>
  </si>
  <si>
    <t>Recurring Schedule / Details (Pls attach as supporting documents)</t>
  </si>
  <si>
    <t>Post with Clearing Journal</t>
  </si>
  <si>
    <t>List of open items to be cleared
(Pls attach as supporting documents)</t>
  </si>
  <si>
    <t>Reversal Period</t>
  </si>
  <si>
    <t>Start Period</t>
  </si>
  <si>
    <t>End Period</t>
  </si>
  <si>
    <t>Clearing GL A/C</t>
  </si>
  <si>
    <t>Clearing date</t>
  </si>
  <si>
    <t>XXXXXXXX</t>
  </si>
  <si>
    <t>DD/MM/YYYY</t>
  </si>
  <si>
    <t>Note: Pls upgroup for additional rows (if necessary)</t>
  </si>
  <si>
    <t>4. Original Invoice date</t>
    <phoneticPr fontId="0" type="noConversion"/>
  </si>
  <si>
    <t>Actual Date</t>
    <phoneticPr fontId="2"/>
  </si>
  <si>
    <t>Constant</t>
    <phoneticPr fontId="0" type="noConversion"/>
  </si>
  <si>
    <t>5. Invoice number</t>
    <phoneticPr fontId="0" type="noConversion"/>
  </si>
  <si>
    <t>GST amount</t>
    <phoneticPr fontId="0" type="noConversion"/>
  </si>
  <si>
    <t>Total Invoice value</t>
    <phoneticPr fontId="0" type="noConversion"/>
  </si>
  <si>
    <t>Vendorname along with Financial year</t>
  </si>
  <si>
    <t>Header Data</t>
  </si>
  <si>
    <t>Line Item Data</t>
  </si>
  <si>
    <t>Scenario</t>
    <phoneticPr fontId="0" type="noConversion"/>
  </si>
  <si>
    <t>Document Date</t>
  </si>
  <si>
    <t xml:space="preserve">Posting Date </t>
  </si>
  <si>
    <t xml:space="preserve">Reference </t>
  </si>
  <si>
    <t>Header Text</t>
  </si>
  <si>
    <t>Currency</t>
  </si>
  <si>
    <t>Line Item #</t>
  </si>
  <si>
    <t xml:space="preserve">Posting Key </t>
  </si>
  <si>
    <t>Special GL Ind.</t>
  </si>
  <si>
    <t>Account</t>
  </si>
  <si>
    <t>Bus Area</t>
  </si>
  <si>
    <t>Amount</t>
  </si>
  <si>
    <t>Local Amount</t>
  </si>
  <si>
    <t>Tax Code</t>
  </si>
  <si>
    <t xml:space="preserve">Tax Amount </t>
  </si>
  <si>
    <t xml:space="preserve">Cost Center </t>
  </si>
  <si>
    <t>Internal Order</t>
  </si>
  <si>
    <t>Product Brand</t>
  </si>
  <si>
    <t>Profit Center</t>
  </si>
  <si>
    <t>Due Date</t>
  </si>
  <si>
    <t>Material Number</t>
  </si>
  <si>
    <t xml:space="preserve">Assignment </t>
  </si>
  <si>
    <t>Text</t>
  </si>
  <si>
    <t>WBS Element</t>
  </si>
  <si>
    <t>13,2</t>
  </si>
  <si>
    <t>Air France</t>
  </si>
  <si>
    <t>Emirates</t>
  </si>
  <si>
    <t>Indigo</t>
  </si>
  <si>
    <t>Malaysia</t>
  </si>
  <si>
    <t>Qatar</t>
  </si>
  <si>
    <t>Singapore</t>
  </si>
  <si>
    <t>SpiceJet</t>
  </si>
  <si>
    <t>SWISS</t>
  </si>
  <si>
    <t>THAI</t>
  </si>
  <si>
    <t>30/11/2019</t>
  </si>
  <si>
    <t>Tax Invoice</t>
  </si>
  <si>
    <t>31/10/2019</t>
  </si>
  <si>
    <t>Airlinecredit</t>
  </si>
  <si>
    <t>INR</t>
  </si>
  <si>
    <t>INGT</t>
  </si>
  <si>
    <t>Name of Airlines</t>
  </si>
  <si>
    <t>Type</t>
  </si>
  <si>
    <t>Original Invoice number</t>
  </si>
  <si>
    <t>Original Invoice date</t>
  </si>
  <si>
    <t>Invoice number</t>
  </si>
  <si>
    <t>Invoice date</t>
  </si>
  <si>
    <t>GSTN of Airlines</t>
  </si>
  <si>
    <t>GSTN of our entity</t>
  </si>
  <si>
    <t>Name of passenger</t>
  </si>
  <si>
    <t>Ticket number</t>
  </si>
  <si>
    <t>PNR</t>
  </si>
  <si>
    <t>HSN/SAC</t>
  </si>
  <si>
    <t>Invoice Amount</t>
  </si>
  <si>
    <t>Taxable value</t>
  </si>
  <si>
    <t>CGST</t>
  </si>
  <si>
    <t>SGST</t>
  </si>
  <si>
    <t>IGST</t>
  </si>
  <si>
    <t>Cess</t>
  </si>
  <si>
    <t>Total Invoice value</t>
  </si>
  <si>
    <t>Group number</t>
  </si>
  <si>
    <t>Status</t>
  </si>
  <si>
    <t>CSV path</t>
  </si>
  <si>
    <t>PDF path</t>
  </si>
  <si>
    <t>33AABCA2389N1ZH</t>
  </si>
  <si>
    <t/>
  </si>
  <si>
    <t>₹</t>
  </si>
  <si>
    <t>Business_EmailTo</t>
  </si>
  <si>
    <t>Business_EmailCC</t>
  </si>
  <si>
    <t>Support_EmailTo</t>
  </si>
  <si>
    <t>Support_EmailCC</t>
  </si>
  <si>
    <t>BotConfig_Email</t>
  </si>
  <si>
    <t>Key</t>
  </si>
  <si>
    <t>Value</t>
  </si>
  <si>
    <t>EmailsCount</t>
  </si>
  <si>
    <t>Open PDF</t>
  </si>
  <si>
    <t>996425</t>
  </si>
  <si>
    <t>Symbol</t>
  </si>
  <si>
    <t>Error in Email Reading</t>
  </si>
  <si>
    <t>Error in MJV creation</t>
  </si>
  <si>
    <t>Error in csv data</t>
  </si>
  <si>
    <t>MJV status</t>
  </si>
  <si>
    <t>Success</t>
  </si>
  <si>
    <t>30/09/2019</t>
  </si>
  <si>
    <t>24/10/2019</t>
  </si>
  <si>
    <t>9964</t>
  </si>
  <si>
    <t>31102019</t>
  </si>
  <si>
    <t>30112019</t>
  </si>
  <si>
    <t>30092019</t>
  </si>
  <si>
    <t>24102019</t>
  </si>
  <si>
    <t>test</t>
  </si>
  <si>
    <t>Swiss International Airlines</t>
  </si>
  <si>
    <t>TAX INVOICE</t>
  </si>
  <si>
    <t>LXDEL190902450</t>
  </si>
  <si>
    <t>24/09/2019</t>
  </si>
  <si>
    <t>07AABCC7181N1ZA</t>
  </si>
  <si>
    <t>PADMANABHAN/SIVAKUMAR MR</t>
  </si>
  <si>
    <t>7249478051607</t>
  </si>
  <si>
    <t>Group104</t>
  </si>
  <si>
    <t>C:\Users\eugg_bc_3\Box Sync\Airline Invoices\DEV\2020\November_15_84934\csvFiles\33aabca2389n1zh_02450_7249478051607_124.pdf.csv</t>
  </si>
  <si>
    <t>\\inbgecmapps\Airline Invoices\DEV\2020\November_15_84934\SWISS\33aabca2389n1zh_02450_7249478051607_124.pdf</t>
  </si>
  <si>
    <t>Singapore Airlines Limited</t>
  </si>
  <si>
    <t>IN33/1912/00766</t>
  </si>
  <si>
    <t>15/12/2019</t>
  </si>
  <si>
    <t>33AAACS5269A1ZQ</t>
  </si>
  <si>
    <t>PRAKASH/H*</t>
  </si>
  <si>
    <t>6183316886262</t>
  </si>
  <si>
    <t>Group_102</t>
  </si>
  <si>
    <t>C:\Users\eugg_bc_3\Box Sync\Airline Invoices\DEV\2020\November_15_84934\csvFiles\6183316886262_00766_1864844_126.pdf.csv</t>
  </si>
  <si>
    <t>\\inbgecmapps\Airline Invoices\DEV\2020\November_15_84934\Singapore\6183316886262_00766_1864844_126.pdf</t>
  </si>
  <si>
    <t>IN29/1909/04887</t>
  </si>
  <si>
    <t>29AAACS5269A1ZF</t>
  </si>
  <si>
    <t>JAIN/ANCHAL N KUMAR MR</t>
  </si>
  <si>
    <t>6189478051595</t>
  </si>
  <si>
    <t>C:\Users\eugg_bc_3\Box Sync\Airline Invoices\DEV\2020\November_15_84934\csvFiles\6189478051595_04887_1680590_127.pdf.csv</t>
  </si>
  <si>
    <t>\\inbgecmapps\Airline Invoices\DEV\2020\November_15_84934\Singapore\6189478051595_04887_1680590_127.pdf</t>
  </si>
  <si>
    <t>IN29/1909/05855</t>
  </si>
  <si>
    <t>PANDHERPUR/RAMESH VENKOBACHAR MR</t>
  </si>
  <si>
    <t>6189478051704</t>
  </si>
  <si>
    <t>C:\Users\eugg_bc_3\Box Sync\Airline Invoices\DEV\2020\November_15_84934\csvFiles\6189478051704_05855_1681558_128.pdf.csv</t>
  </si>
  <si>
    <t>\\inbgecmapps\Airline Invoices\DEV\2020\November_15_84934\Singapore\6189478051704_05855_1681558_128.pdf</t>
  </si>
  <si>
    <t>IN29/1909/05854</t>
  </si>
  <si>
    <t>POLICEPATIL/PRAMOD REDDY MR</t>
  </si>
  <si>
    <t>6189478051707</t>
  </si>
  <si>
    <t>C:\Users\eugg_bc_3\Box Sync\Airline Invoices\DEV\2020\November_15_84934\csvFiles\6189478051707_05854_1681557_129.pdf.csv</t>
  </si>
  <si>
    <t>\\inbgecmapps\Airline Invoices\DEV\2020\November_15_84934\Singapore\6189478051707_05854_1681557_129.pdf</t>
  </si>
  <si>
    <t>IN33/1910/00844</t>
  </si>
  <si>
    <t>15/10/2019</t>
  </si>
  <si>
    <t>CHELLAM/V*</t>
  </si>
  <si>
    <t>6189478408641</t>
  </si>
  <si>
    <t>C:\Users\eugg_bc_3\Box Sync\Airline Invoices\DEV\2020\November_15_84934\csvFiles\6189478408641_00844_1733486_130.pdf.csv</t>
  </si>
  <si>
    <t>\\inbgecmapps\Airline Invoices\DEV\2020\November_15_84934\Singapore\6189478408641_00844_1733486_130.pdf</t>
  </si>
  <si>
    <t>IN33/1910/01934</t>
  </si>
  <si>
    <t>22/10/2019</t>
  </si>
  <si>
    <t>SL/S*</t>
  </si>
  <si>
    <t>6189478845037</t>
  </si>
  <si>
    <t>C:\Users\eugg_bc_3\Box Sync\Airline Invoices\DEV\2020\November_15_84934\csvFiles\6189478845037_01934_1743051_131.pdf.csv</t>
  </si>
  <si>
    <t>\\inbgecmapps\Airline Invoices\DEV\2020\November_15_84934\Singapore\6189478845037_01934_1743051_131.pdf</t>
  </si>
  <si>
    <t>IN33/1910/01933</t>
  </si>
  <si>
    <t>MARIADHAS/A*</t>
  </si>
  <si>
    <t>6189478845038</t>
  </si>
  <si>
    <t>C:\Users\eugg_bc_3\Box Sync\Airline Invoices\DEV\2020\November_15_84934\csvFiles\6189478845038_01933_1743050_132.pdf.csv</t>
  </si>
  <si>
    <t>\\inbgecmapps\Airline Invoices\DEV\2020\November_15_84934\Singapore\6189478845038_01933_1743050_132.pdf</t>
  </si>
  <si>
    <t>IN33/1911/02211</t>
  </si>
  <si>
    <t>22/11/2019</t>
  </si>
  <si>
    <t>KUMAR/A*</t>
  </si>
  <si>
    <t>6189479601369</t>
  </si>
  <si>
    <t>C:\Users\eugg_bc_3\Box Sync\Airline Invoices\DEV\2020\November_15_84934\csvFiles\6189479601369_02211_1812270_125.pdf.csv</t>
  </si>
  <si>
    <t>\\inbgecmapps\Airline Invoices\DEV\2020\November_15_84934\Singapore\6189479601369_02211_1812270_125.pdf</t>
  </si>
  <si>
    <t>SpiceJet Limited</t>
  </si>
  <si>
    <t>12920/0000238239</t>
  </si>
  <si>
    <t>13/06/2019</t>
  </si>
  <si>
    <t>29AACCR1459F1ZC</t>
  </si>
  <si>
    <t>MR. MANIKANDAN RAMANATHAN MUTHU</t>
  </si>
  <si>
    <t>A88YSP</t>
  </si>
  <si>
    <t>9964,9967</t>
  </si>
  <si>
    <t>Group_103</t>
  </si>
  <si>
    <t>C:\Users\eugg_bc_3\Box Sync\Airline Invoices\DEV\2020\November_15_84934\csvFiles\a88ysp_12920_0000238239_14.pdf.csv</t>
  </si>
  <si>
    <t>\\inbgecmapps\Airline Invoices\DEV\2020\November_15_84934\SpiceJet\a88ysp_12920_0000238239_14.pdf</t>
  </si>
  <si>
    <t>13320/0000268970</t>
  </si>
  <si>
    <t>33AACCR1459F1ZN</t>
  </si>
  <si>
    <t>C:\Users\eugg_bc_3\Box Sync\Airline Invoices\DEV\2020\November_15_84934\csvFiles\a88ysp_13320_0000268970_15.pdf.csv</t>
  </si>
  <si>
    <t>\\inbgecmapps\Airline Invoices\DEV\2020\November_15_84934\SpiceJet\a88ysp_13320_0000268970_15.pdf</t>
  </si>
  <si>
    <t>13320/0000435051</t>
  </si>
  <si>
    <t>22/07/2019</t>
  </si>
  <si>
    <t>MR. SAM JEYASEELAN</t>
  </si>
  <si>
    <t>AB51HG</t>
  </si>
  <si>
    <t>C:\Users\eugg_bc_3\Box Sync\Airline Invoices\DEV\2020\November_15_84934\csvFiles\ab51hg_13320_0000435051_16.pdf.csv</t>
  </si>
  <si>
    <t>\\inbgecmapps\Airline Invoices\DEV\2020\November_15_84934\SpiceJet\ab51hg_13320_0000435051_16.pdf</t>
  </si>
  <si>
    <t>13320/0000526235</t>
  </si>
  <si>
    <t>13/08/2019</t>
  </si>
  <si>
    <t>MR. SUJITH KUMAR MENTA</t>
  </si>
  <si>
    <t>ACVDRQ</t>
  </si>
  <si>
    <t>C:\Users\eugg_bc_3\Box Sync\Airline Invoices\DEV\2020\November_15_84934\csvFiles\acvdrq_13320_0000526235_17.pdf.csv</t>
  </si>
  <si>
    <t>\\inbgecmapps\Airline Invoices\DEV\2020\November_15_84934\SpiceJet\acvdrq_13320_0000526235_17.pdf</t>
  </si>
  <si>
    <t>12920/0000837352</t>
  </si>
  <si>
    <t>07/11/2019</t>
  </si>
  <si>
    <t>MR. SUNIL NANDA KISHORE</t>
  </si>
  <si>
    <t>AFF6FX</t>
  </si>
  <si>
    <t>C:\Users\eugg_bc_3\Box Sync\Airline Invoices\DEV\2020\November_15_84934\csvFiles\aff6fx_12920_0000837352_18.pdf.csv</t>
  </si>
  <si>
    <t>\\inbgecmapps\Airline Invoices\DEV\2020\November_15_84934\SpiceJet\aff6fx_12920_0000837352_18.pdf</t>
  </si>
  <si>
    <t>12920/0000770190</t>
  </si>
  <si>
    <t>MR. MAGESH MANI</t>
  </si>
  <si>
    <t>B7DY5C</t>
  </si>
  <si>
    <t>C:\Users\eugg_bc_3\Box Sync\Airline Invoices\DEV\2020\November_15_84934\csvFiles\b7dy5c_12920_0000770190_19.pdf.csv</t>
  </si>
  <si>
    <t>\\inbgecmapps\Airline Invoices\DEV\2020\November_15_84934\SpiceJet\b7dy5c_12920_0000770190_19.pdf</t>
  </si>
  <si>
    <t>13320/0000435050</t>
  </si>
  <si>
    <t>BEME6X</t>
  </si>
  <si>
    <t>C:\Users\eugg_bc_3\Box Sync\Airline Invoices\DEV\2020\November_15_84934\csvFiles\beme6x_13320_0000435050_20.pdf.csv</t>
  </si>
  <si>
    <t>\\inbgecmapps\Airline Invoices\DEV\2020\November_15_84934\SpiceJet\beme6x_13320_0000435050_20.pdf</t>
  </si>
  <si>
    <t>13320/0000554073</t>
  </si>
  <si>
    <t>21/08/2019</t>
  </si>
  <si>
    <t>MR. CECIL DANIEL JONESHARRIS</t>
  </si>
  <si>
    <t>C4JH2Y</t>
  </si>
  <si>
    <t>C:\Users\eugg_bc_3\Box Sync\Airline Invoices\DEV\2020\November_15_84934\csvFiles\c4jh2y_13320_0000554073_21.pdf.csv</t>
  </si>
  <si>
    <t>\\inbgecmapps\Airline Invoices\DEV\2020\November_15_84934\SpiceJet\c4jh2y_13320_0000554073_21.pdf</t>
  </si>
  <si>
    <t>13320/0000798410</t>
  </si>
  <si>
    <t>D7BERF</t>
  </si>
  <si>
    <t>C:\Users\eugg_bc_3\Box Sync\Airline Invoices\DEV\2020\November_15_84934\csvFiles\d7berf_13320_0000798410_22.pdf.csv</t>
  </si>
  <si>
    <t>\\inbgecmapps\Airline Invoices\DEV\2020\November_15_84934\SpiceJet\d7berf_13320_0000798410_22.pdf</t>
  </si>
  <si>
    <t>12920/0000488148</t>
  </si>
  <si>
    <t>MR. PAZHANIVELU KOTHANDAPANI</t>
  </si>
  <si>
    <t>DB94QW</t>
  </si>
  <si>
    <t>C:\Users\eugg_bc_3\Box Sync\Airline Invoices\DEV\2020\November_15_84934\csvFiles\db94qw_12920_0000488148_23.pdf.csv</t>
  </si>
  <si>
    <t>\\inbgecmapps\Airline Invoices\DEV\2020\November_15_84934\SpiceJet\db94qw_12920_0000488148_23.pdf</t>
  </si>
  <si>
    <t>13320/0000455677</t>
  </si>
  <si>
    <t>26/07/2019</t>
  </si>
  <si>
    <t>MR. GIRI PRASAD RAMAMOORTHY</t>
  </si>
  <si>
    <t>DDYY7N</t>
  </si>
  <si>
    <t>C:\Users\eugg_bc_3\Box Sync\Airline Invoices\DEV\2020\November_15_84934\csvFiles\ddyy7n_13320_0000455677_24.pdf.csv</t>
  </si>
  <si>
    <t>\\inbgecmapps\Airline Invoices\DEV\2020\November_15_84934\SpiceJet\ddyy7n_13320_0000455677_24.pdf</t>
  </si>
  <si>
    <t>13320/0000353015</t>
  </si>
  <si>
    <t>02/07/2019</t>
  </si>
  <si>
    <t>MS. SOWMYASHREE THADAKARA</t>
  </si>
  <si>
    <t>DF9DVK</t>
  </si>
  <si>
    <t>C:\Users\eugg_bc_3\Box Sync\Airline Invoices\DEV\2020\November_15_84934\csvFiles\df9dvk_13320_0000353015_25.pdf.csv</t>
  </si>
  <si>
    <t>\\inbgecmapps\Airline Invoices\DEV\2020\November_15_84934\SpiceJet\df9dvk_13320_0000353015_25.pdf</t>
  </si>
  <si>
    <t>12920/0000855468</t>
  </si>
  <si>
    <t>12/11/2019</t>
  </si>
  <si>
    <t>MR. SANTOSH KARTHIKEYAN VISWANATHAN</t>
  </si>
  <si>
    <t>DGNHWH</t>
  </si>
  <si>
    <t>C:\Users\eugg_bc_3\Box Sync\Airline Invoices\DEV\2020\November_15_84934\csvFiles\dgnhwh_12920_0000855468_26.pdf.csv</t>
  </si>
  <si>
    <t>\\inbgecmapps\Airline Invoices\DEV\2020\November_15_84934\SpiceJet\dgnhwh_12920_0000855468_26.pdf</t>
  </si>
  <si>
    <t>12920/0000761692</t>
  </si>
  <si>
    <t>19/10/2019</t>
  </si>
  <si>
    <t>MR. RAAM ANNAMALAI</t>
  </si>
  <si>
    <t>DY2RGZ</t>
  </si>
  <si>
    <t>C:\Users\eugg_bc_3\Box Sync\Airline Invoices\DEV\2020\November_15_84934\csvFiles\dy2rgz_12920_0000761692_27.pdf.csv</t>
  </si>
  <si>
    <t>\\inbgecmapps\Airline Invoices\DEV\2020\November_15_84934\SpiceJet\dy2rgz_12920_0000761692_27.pdf</t>
  </si>
  <si>
    <t>12920/0000756179</t>
  </si>
  <si>
    <t>17/10/2019</t>
  </si>
  <si>
    <t>MR. RAVICHANDER RAJENDRAN</t>
  </si>
  <si>
    <t>E6RI2S</t>
  </si>
  <si>
    <t>C:\Users\eugg_bc_3\Box Sync\Airline Invoices\DEV\2020\November_15_84934\csvFiles\e6ri2s_12920_0000756179_28.pdf.csv</t>
  </si>
  <si>
    <t>\\inbgecmapps\Airline Invoices\DEV\2020\November_15_84934\SpiceJet\e6ri2s_12920_0000756179_28.pdf</t>
  </si>
  <si>
    <t>12920/0000366936</t>
  </si>
  <si>
    <t>15/07/2019</t>
  </si>
  <si>
    <t>MR. BAKKIANATHAN MUTHUSWAMI</t>
  </si>
  <si>
    <t>E7Q6WS</t>
  </si>
  <si>
    <t>C:\Users\eugg_bc_3\Box Sync\Airline Invoices\DEV\2020\November_15_84934\csvFiles\e7q6ws_12920_0000366936_29.pdf.csv</t>
  </si>
  <si>
    <t>\\inbgecmapps\Airline Invoices\DEV\2020\November_15_84934\SpiceJet\e7q6ws_12920_0000366936_29.pdf</t>
  </si>
  <si>
    <t>12920/0000589246</t>
  </si>
  <si>
    <t>08/09/2019</t>
  </si>
  <si>
    <t>MR. MALOLAN SARANGAPANI</t>
  </si>
  <si>
    <t>EG41HH</t>
  </si>
  <si>
    <t>C:\Users\eugg_bc_3\Box Sync\Airline Invoices\DEV\2020\November_15_84934\csvFiles\eg41hh_12920_0000589246_30.pdf.csv</t>
  </si>
  <si>
    <t>\\inbgecmapps\Airline Invoices\DEV\2020\November_15_84934\SpiceJet\eg41hh_12920_0000589246_30.pdf</t>
  </si>
  <si>
    <t>THAI AIRWAYS INTERNATIONAL PUBLIC COMPANY LIMITED</t>
  </si>
  <si>
    <t>29P1911IV007007</t>
  </si>
  <si>
    <t>27/11/2019</t>
  </si>
  <si>
    <t>29AAAJT0025A1ZN</t>
  </si>
  <si>
    <t>JANGAIGAR/TIRUPATHI REDDY MR</t>
  </si>
  <si>
    <t>TKT 2179479601497</t>
  </si>
  <si>
    <t>Group_106</t>
  </si>
  <si>
    <t>C:\Users\eugg_bc_3\Box Sync\Airline Invoices\DEV\2020\November_15_84934\csvFiles\etaxblr29p1911iv007007etaxmail_4.pdf.csv</t>
  </si>
  <si>
    <t>\\inbgecmapps\Airline Invoices\DEV\2020\November_15_84934\THAI\etaxblr29p1911iv007007etaxmail_4.pdf</t>
  </si>
  <si>
    <t>33P1906IV006482</t>
  </si>
  <si>
    <t>27/06/2019</t>
  </si>
  <si>
    <t>33AAAJT0025A1ZY</t>
  </si>
  <si>
    <t>MOHANRAO/RAJENDRAN MR</t>
  </si>
  <si>
    <t>TKT 2173433490107</t>
  </si>
  <si>
    <t>C:\Users\eugg_bc_3\Box Sync\Airline Invoices\DEV\2020\November_15_84934\csvFiles\etaxmaa33p1906iv006482etaxmail_5.pdf.csv</t>
  </si>
  <si>
    <t>\\inbgecmapps\Airline Invoices\DEV\2020\November_15_84934\THAI\etaxmaa33p1906iv006482etaxmail_5.pdf</t>
  </si>
  <si>
    <t>33P1906IV006483</t>
  </si>
  <si>
    <t>JAMES/CLARA DIANA MS</t>
  </si>
  <si>
    <t>TKT 2173433490108</t>
  </si>
  <si>
    <t>C:\Users\eugg_bc_3\Box Sync\Airline Invoices\DEV\2020\November_15_84934\csvFiles\etaxmaa33p1906iv006483etaxmail_6.pdf.csv</t>
  </si>
  <si>
    <t>\\inbgecmapps\Airline Invoices\DEV\2020\November_15_84934\THAI\etaxmaa33p1906iv006483etaxmail_6.pdf</t>
  </si>
  <si>
    <t>33P1906IV006484</t>
  </si>
  <si>
    <t>GANDHAM/RAGHU MR</t>
  </si>
  <si>
    <t>TKT 2173433490109</t>
  </si>
  <si>
    <t>C:\Users\eugg_bc_3\Box Sync\Airline Invoices\DEV\2020\November_15_84934\csvFiles\etaxmaa33p1906iv006484etaxmail_7.pdf.csv</t>
  </si>
  <si>
    <t>\\inbgecmapps\Airline Invoices\DEV\2020\November_15_84934\THAI\etaxmaa33p1906iv006484etaxmail_7.pdf</t>
  </si>
  <si>
    <t>33P1906IV006485</t>
  </si>
  <si>
    <t>SETHUPATHY/MADHAN RAJ MR</t>
  </si>
  <si>
    <t>TKT 2173433490110</t>
  </si>
  <si>
    <t>C:\Users\eugg_bc_3\Box Sync\Airline Invoices\DEV\2020\November_15_84934\csvFiles\etaxmaa33p1906iv006485etaxmail_8.pdf.csv</t>
  </si>
  <si>
    <t>\\inbgecmapps\Airline Invoices\DEV\2020\November_15_84934\THAI\etaxmaa33p1906iv006485etaxmail_8.pdf</t>
  </si>
  <si>
    <t>33P1906IV006486</t>
  </si>
  <si>
    <t>JAYARAMAN/BALAJI MR</t>
  </si>
  <si>
    <t>TKT 2173433490111</t>
  </si>
  <si>
    <t>C:\Users\eugg_bc_3\Box Sync\Airline Invoices\DEV\2020\November_15_84934\csvFiles\etaxmaa33p1906iv006486etaxmail_9.pdf.csv</t>
  </si>
  <si>
    <t>\\inbgecmapps\Airline Invoices\DEV\2020\November_15_84934\THAI\etaxmaa33p1906iv006486etaxmail_9.pdf</t>
  </si>
  <si>
    <t>33P1908IV008679</t>
  </si>
  <si>
    <t>30/08/2019</t>
  </si>
  <si>
    <t>NANDA KISHORE/SUNIL MR</t>
  </si>
  <si>
    <t>TKT 2173435215385</t>
  </si>
  <si>
    <t>C:\Users\eugg_bc_3\Box Sync\Airline Invoices\DEV\2020\November_15_84934\csvFiles\etaxmaa33p1908iv008679etaxmail_10.pdf.csv</t>
  </si>
  <si>
    <t>\\inbgecmapps\Airline Invoices\DEV\2020\November_15_84934\THAI\etaxmaa33p1908iv008679etaxmail_10.pdf</t>
  </si>
  <si>
    <t>33P1912IV002820</t>
  </si>
  <si>
    <t>12/12/2019</t>
  </si>
  <si>
    <t>AMMANABROLU/AKASH MR</t>
  </si>
  <si>
    <t>TKT 2173316886334</t>
  </si>
  <si>
    <t>C:\Users\eugg_bc_3\Box Sync\Airline Invoices\DEV\2020\November_15_84934\csvFiles\etaxmaa33p1912iv002820etaxmail_11.pdf.csv</t>
  </si>
  <si>
    <t>\\inbgecmapps\Airline Invoices\DEV\2020\November_15_84934\THAI\etaxmaa33p1912iv002820etaxmail_11.pdf</t>
  </si>
  <si>
    <t>33P1912IV003080</t>
  </si>
  <si>
    <t>13/12/2019</t>
  </si>
  <si>
    <t>RANGANAATHA ADITYAN/HEMAPRIYA MS</t>
  </si>
  <si>
    <t>TKT 2173316886349</t>
  </si>
  <si>
    <t>C:\Users\eugg_bc_3\Box Sync\Airline Invoices\DEV\2020\November_15_84934\csvFiles\etaxmaa33p1912iv003080etaxmail_12.pdf.csv</t>
  </si>
  <si>
    <t>\\inbgecmapps\Airline Invoices\DEV\2020\November_15_84934\THAI\etaxmaa33p1912iv003080etaxmail_12.pdf</t>
  </si>
  <si>
    <t>33P2002IV001705</t>
  </si>
  <si>
    <t>05/02/2020</t>
  </si>
  <si>
    <t>C:\Users\eugg_bc_3\Box Sync\Airline Invoices\DEV\2020\November_15_84934\csvFiles\etaxmaa33p2002iv001705etaxmail_3.pdf.csv</t>
  </si>
  <si>
    <t>\\inbgecmapps\Airline Invoices\DEV\2020\November_15_84934\THAI\etaxmaa33p2002iv001705etaxmail_3.pdf</t>
  </si>
  <si>
    <t>13320/0000526670</t>
  </si>
  <si>
    <t>MS. SUSANNA EBENEZER</t>
  </si>
  <si>
    <t>F4GY7L</t>
  </si>
  <si>
    <t>C:\Users\eugg_bc_3\Box Sync\Airline Invoices\DEV\2020\November_15_84934\csvFiles\f4gy7l_13320_0000526670_31.pdf.csv</t>
  </si>
  <si>
    <t>\\inbgecmapps\Airline Invoices\DEV\2020\November_15_84934\SpiceJet\f4gy7l_13320_0000526670_31.pdf</t>
  </si>
  <si>
    <t>13320/0000435133</t>
  </si>
  <si>
    <t>MR. MARIA ARULRAJ ARUN LOUIS</t>
  </si>
  <si>
    <t>F5SMXY</t>
  </si>
  <si>
    <t>C:\Users\eugg_bc_3\Box Sync\Airline Invoices\DEV\2020\November_15_84934\csvFiles\f5smxy_13320_0000435133_32.pdf.csv</t>
  </si>
  <si>
    <t>\\inbgecmapps\Airline Invoices\DEV\2020\November_15_84934\SpiceJet\f5smxy_13320_0000435133_32.pdf</t>
  </si>
  <si>
    <t>12920/0000583642</t>
  </si>
  <si>
    <t>06/09/2019</t>
  </si>
  <si>
    <t>MR. PRABHU JAGADEESAN</t>
  </si>
  <si>
    <t>FC3QGT</t>
  </si>
  <si>
    <t>C:\Users\eugg_bc_3\Box Sync\Airline Invoices\DEV\2020\November_15_84934\csvFiles\fc3qgt_12920_0000583642_33.pdf.csv</t>
  </si>
  <si>
    <t>\\inbgecmapps\Airline Invoices\DEV\2020\November_15_84934\SpiceJet\fc3qgt_12920_0000583642_33.pdf</t>
  </si>
  <si>
    <t>12920/0000236820</t>
  </si>
  <si>
    <t>12/06/2019</t>
  </si>
  <si>
    <t>MR. SARATHKUMAR PRABHAKARAN</t>
  </si>
  <si>
    <t>FD3VQQ</t>
  </si>
  <si>
    <t>C:\Users\eugg_bc_3\Box Sync\Airline Invoices\DEV\2020\November_15_84934\csvFiles\fd3vqq_12920_0000236820_34.pdf.csv</t>
  </si>
  <si>
    <t>\\inbgecmapps\Airline Invoices\DEV\2020\November_15_84934\SpiceJet\fd3vqq_12920_0000236820_34.pdf</t>
  </si>
  <si>
    <t>13320/0000267404</t>
  </si>
  <si>
    <t>C:\Users\eugg_bc_3\Box Sync\Airline Invoices\DEV\2020\November_15_84934\csvFiles\fd3vqq_13320_0000267404_35.pdf.csv</t>
  </si>
  <si>
    <t>\\inbgecmapps\Airline Invoices\DEV\2020\November_15_84934\SpiceJet\fd3vqq_13320_0000267404_35.pdf</t>
  </si>
  <si>
    <t>12920/0000761742</t>
  </si>
  <si>
    <t>MR. LESLY ARUN FRANCO CARMEL RAJAN</t>
  </si>
  <si>
    <t>G5RQKY</t>
  </si>
  <si>
    <t>C:\Users\eugg_bc_3\Box Sync\Airline Invoices\DEV\2020\November_15_84934\csvFiles\g5rqky_12920_0000761742_36.pdf.csv</t>
  </si>
  <si>
    <t>\\inbgecmapps\Airline Invoices\DEV\2020\November_15_84934\SpiceJet\g5rqky_12920_0000761742_36.pdf</t>
  </si>
  <si>
    <t>13320/0000353108</t>
  </si>
  <si>
    <t>MR. RAJESH KUMAR R</t>
  </si>
  <si>
    <t>G7ZFMF</t>
  </si>
  <si>
    <t>C:\Users\eugg_bc_3\Box Sync\Airline Invoices\DEV\2020\November_15_84934\csvFiles\g7zfmf_13320_0000353108_37.pdf.csv</t>
  </si>
  <si>
    <t>\\inbgecmapps\Airline Invoices\DEV\2020\November_15_84934\SpiceJet\g7zfmf_13320_0000353108_37.pdf</t>
  </si>
  <si>
    <t>13320/0000789157</t>
  </si>
  <si>
    <t>G9K83Z</t>
  </si>
  <si>
    <t>C:\Users\eugg_bc_3\Box Sync\Airline Invoices\DEV\2020\November_15_84934\csvFiles\g9k83z_13320_0000789157_38.pdf.csv</t>
  </si>
  <si>
    <t>\\inbgecmapps\Airline Invoices\DEV\2020\November_15_84934\SpiceJet\g9k83z_13320_0000789157_38.pdf</t>
  </si>
  <si>
    <t>13320/0001032659</t>
  </si>
  <si>
    <t>11/12/2019</t>
  </si>
  <si>
    <t>MR. NARAYANAN RENGANATHAN</t>
  </si>
  <si>
    <t>GBEMGW</t>
  </si>
  <si>
    <t>C:\Users\eugg_bc_3\Box Sync\Airline Invoices\DEV\2020\November_15_84934\csvFiles\gbemgw_13320_0001032659_39.pdf.csv</t>
  </si>
  <si>
    <t>\\inbgecmapps\Airline Invoices\DEV\2020\November_15_84934\SpiceJet\gbemgw_13320_0001032659_39.pdf</t>
  </si>
  <si>
    <t>13320/0000408056</t>
  </si>
  <si>
    <t>GY66JZ</t>
  </si>
  <si>
    <t>C:\Users\eugg_bc_3\Box Sync\Airline Invoices\DEV\2020\November_15_84934\csvFiles\gy66jz_13320_0000408056_40.pdf.csv</t>
  </si>
  <si>
    <t>\\inbgecmapps\Airline Invoices\DEV\2020\November_15_84934\SpiceJet\gy66jz_13320_0000408056_40.pdf</t>
  </si>
  <si>
    <t>13320/0000783538</t>
  </si>
  <si>
    <t>MR. UMA SHANKAR KESAVAN</t>
  </si>
  <si>
    <t>H5B93Y</t>
  </si>
  <si>
    <t>C:\Users\eugg_bc_3\Box Sync\Airline Invoices\DEV\2020\November_15_84934\csvFiles\h5b93y_13320_0000783538_41.pdf.csv</t>
  </si>
  <si>
    <t>\\inbgecmapps\Airline Invoices\DEV\2020\November_15_84934\SpiceJet\h5b93y_13320_0000783538_41.pdf</t>
  </si>
  <si>
    <t>13320/0000364745</t>
  </si>
  <si>
    <t>05/07/2019</t>
  </si>
  <si>
    <t>MR. SIVAPRAKASH SENTHIKUMAR</t>
  </si>
  <si>
    <t>H6FMSI</t>
  </si>
  <si>
    <t>C:\Users\eugg_bc_3\Box Sync\Airline Invoices\DEV\2020\November_15_84934\csvFiles\h6fmsi_13320_0000364745_42.pdf.csv</t>
  </si>
  <si>
    <t>\\inbgecmapps\Airline Invoices\DEV\2020\November_15_84934\SpiceJet\h6fmsi_13320_0000364745_42.pdf</t>
  </si>
  <si>
    <t>13320/0000364746</t>
  </si>
  <si>
    <t>C:\Users\eugg_bc_3\Box Sync\Airline Invoices\DEV\2020\November_15_84934\csvFiles\h6fmsi_13320_0000364746_43.pdf.csv</t>
  </si>
  <si>
    <t>\\inbgecmapps\Airline Invoices\DEV\2020\November_15_84934\SpiceJet\h6fmsi_13320_0000364746_43.pdf</t>
  </si>
  <si>
    <t>13320/0000789110</t>
  </si>
  <si>
    <t>MR. BIJU PANAKKAL JACOB</t>
  </si>
  <si>
    <t>H8J1PC</t>
  </si>
  <si>
    <t>C:\Users\eugg_bc_3\Box Sync\Airline Invoices\DEV\2020\November_15_84934\csvFiles\h8j1pc_13320_0000789110_44.pdf.csv</t>
  </si>
  <si>
    <t>\\inbgecmapps\Airline Invoices\DEV\2020\November_15_84934\SpiceJet\h8j1pc_13320_0000789110_44.pdf</t>
  </si>
  <si>
    <t>13320/0000812080</t>
  </si>
  <si>
    <t>25/10/2019</t>
  </si>
  <si>
    <t>MR. BALAMURALI VENKATAKRISHNAN</t>
  </si>
  <si>
    <t>HCC16D</t>
  </si>
  <si>
    <t>C:\Users\eugg_bc_3\Box Sync\Airline Invoices\DEV\2020\November_15_84934\csvFiles\hcc16d_13320_0000812080_45.pdf.csv</t>
  </si>
  <si>
    <t>\\inbgecmapps\Airline Invoices\DEV\2020\November_15_84934\SpiceJet\hcc16d_13320_0000812080_45.pdf</t>
  </si>
  <si>
    <t>CREDIT NOTE</t>
  </si>
  <si>
    <t>33320/0000092150</t>
  </si>
  <si>
    <t>11/11/2019</t>
  </si>
  <si>
    <t>C:\Users\eugg_bc_3\Box Sync\Airline Invoices\DEV\2020\November_15_84934\csvFiles\hcc16d_33320_0000092150_46.pdf.csv</t>
  </si>
  <si>
    <t>\\inbgecmapps\Airline Invoices\DEV\2020\November_15_84934\SpiceJet\hcc16d_33320_0000092150_46.pdf</t>
  </si>
  <si>
    <t>13320/0000364916</t>
  </si>
  <si>
    <t>MS. AMARPREET KAUR AHUJA</t>
  </si>
  <si>
    <t>HH1RFE</t>
  </si>
  <si>
    <t>C:\Users\eugg_bc_3\Box Sync\Airline Invoices\DEV\2020\November_15_84934\csvFiles\hh1rfe_13320_0000364916_47.pdf.csv</t>
  </si>
  <si>
    <t>\\inbgecmapps\Airline Invoices\DEV\2020\November_15_84934\SpiceJet\hh1rfe_13320_0000364916_47.pdf</t>
  </si>
  <si>
    <t>12920/0000469836</t>
  </si>
  <si>
    <t>08/08/2019</t>
  </si>
  <si>
    <t>MR. VISWANATHAN PUDUKOTTAI NAGARAJARAO</t>
  </si>
  <si>
    <t>I7JRVF</t>
  </si>
  <si>
    <t>C:\Users\eugg_bc_3\Box Sync\Airline Invoices\DEV\2020\November_15_84934\csvFiles\i7jrvf_12920_0000469836_48.pdf.csv</t>
  </si>
  <si>
    <t>\\inbgecmapps\Airline Invoices\DEV\2020\November_15_84934\SpiceJet\i7jrvf_12920_0000469836_48.pdf</t>
  </si>
  <si>
    <t>13320/0001032702</t>
  </si>
  <si>
    <t>MR. AVINASH KUMAR</t>
  </si>
  <si>
    <t>I8HLHC</t>
  </si>
  <si>
    <t>C:\Users\eugg_bc_3\Box Sync\Airline Invoices\DEV\2020\November_15_84934\csvFiles\i8hlhc_13320_0001032702_49.pdf.csv</t>
  </si>
  <si>
    <t>\\inbgecmapps\Airline Invoices\DEV\2020\November_15_84934\SpiceJet\i8hlhc_13320_0001032702_49.pdf</t>
  </si>
  <si>
    <t>33320/0000122841</t>
  </si>
  <si>
    <t>10/01/2020</t>
  </si>
  <si>
    <t>C:\Users\eugg_bc_3\Box Sync\Airline Invoices\DEV\2020\November_15_84934\csvFiles\i8hlhc_33320_0000122841_50.pdf.csv</t>
  </si>
  <si>
    <t>\\inbgecmapps\Airline Invoices\DEV\2020\November_15_84934\SpiceJet\i8hlhc_33320_0000122841_50.pdf</t>
  </si>
  <si>
    <t>12920/0000761662</t>
  </si>
  <si>
    <t>ICV8WT</t>
  </si>
  <si>
    <t>C:\Users\eugg_bc_3\Box Sync\Airline Invoices\DEV\2020\November_15_84934\csvFiles\icv8wt_12920_0000761662_51.pdf.csv</t>
  </si>
  <si>
    <t>\\inbgecmapps\Airline Invoices\DEV\2020\November_15_84934\SpiceJet\icv8wt_12920_0000761662_51.pdf</t>
  </si>
  <si>
    <t>12920/0000925371</t>
  </si>
  <si>
    <t>MS. DIYA GUPTA</t>
  </si>
  <si>
    <t>IHNC8R</t>
  </si>
  <si>
    <t>C:\Users\eugg_bc_3\Box Sync\Airline Invoices\DEV\2020\November_15_84934\csvFiles\ihnc8r_12920_0000925371_52.pdf.csv</t>
  </si>
  <si>
    <t>\\inbgecmapps\Airline Invoices\DEV\2020\November_15_84934\SpiceJet\ihnc8r_12920_0000925371_52.pdf</t>
  </si>
  <si>
    <t>12920/0000779977</t>
  </si>
  <si>
    <t>MR. JAWAHAR BHUSHAN SUBRAMANIAN</t>
  </si>
  <si>
    <t>J4DPUB</t>
  </si>
  <si>
    <t>C:\Users\eugg_bc_3\Box Sync\Airline Invoices\DEV\2020\November_15_84934\csvFiles\j4dpub_12920_0000779977_53.pdf.csv</t>
  </si>
  <si>
    <t>\\inbgecmapps\Airline Invoices\DEV\2020\November_15_84934\SpiceJet\j4dpub_12920_0000779977_53.pdf</t>
  </si>
  <si>
    <t>12920/0000583732</t>
  </si>
  <si>
    <t>MR. SANKARAN PICHUMANI</t>
  </si>
  <si>
    <t>J6YIXY</t>
  </si>
  <si>
    <t>C:\Users\eugg_bc_3\Box Sync\Airline Invoices\DEV\2020\November_15_84934\csvFiles\j6yixy_12920_0000583732_54.pdf.csv</t>
  </si>
  <si>
    <t>\\inbgecmapps\Airline Invoices\DEV\2020\November_15_84934\SpiceJet\j6yixy_12920_0000583732_54.pdf</t>
  </si>
  <si>
    <t>12720/0001718787</t>
  </si>
  <si>
    <t>27AACCR1459F1ZG</t>
  </si>
  <si>
    <t>MR. ALEX GINONRAJ ANTONY</t>
  </si>
  <si>
    <t>JHJ76R</t>
  </si>
  <si>
    <t>Group_173</t>
  </si>
  <si>
    <t>C:\Users\eugg_bc_3\Box Sync\Airline Invoices\DEV\2020\November_15_84934\csvFiles\jhj76r_12720_0001718787_55.pdf.csv</t>
  </si>
  <si>
    <t>\\inbgecmapps\Airline Invoices\DEV\2020\November_15_84934\SpiceJet\jhj76r_12720_0001718787_55.pdf</t>
  </si>
  <si>
    <t>10720/0001758476</t>
  </si>
  <si>
    <t>06/01/2020</t>
  </si>
  <si>
    <t>07AACCR1459F1ZI</t>
  </si>
  <si>
    <t>MS. MAMATHA THANIGUNDALA</t>
  </si>
  <si>
    <t>JYPEFZ</t>
  </si>
  <si>
    <t>C:\Users\eugg_bc_3\Box Sync\Airline Invoices\DEV\2020\November_15_84934\csvFiles\jypefz_10720_0001758476_56.pdf.csv</t>
  </si>
  <si>
    <t>\\inbgecmapps\Airline Invoices\DEV\2020\November_15_84934\SpiceJet\jypefz_10720_0001758476_56.pdf</t>
  </si>
  <si>
    <t>12920/0000488091</t>
  </si>
  <si>
    <t>MR. DHANASEKARAN MANI</t>
  </si>
  <si>
    <t>K4PG7L</t>
  </si>
  <si>
    <t>C:\Users\eugg_bc_3\Box Sync\Airline Invoices\DEV\2020\November_15_84934\csvFiles\k4pg7l_12920_0000488091_57.pdf.csv</t>
  </si>
  <si>
    <t>\\inbgecmapps\Airline Invoices\DEV\2020\November_15_84934\SpiceJet\k4pg7l_12920_0000488091_57.pdf</t>
  </si>
  <si>
    <t>12920/0000766467</t>
  </si>
  <si>
    <t>21/10/2019</t>
  </si>
  <si>
    <t>MR. DHAMODARAN KUMAR</t>
  </si>
  <si>
    <t>K5176L</t>
  </si>
  <si>
    <t>C:\Users\eugg_bc_3\Box Sync\Airline Invoices\DEV\2020\November_15_84934\csvFiles\k5176l_12920_0000766467_62.pdf.csv</t>
  </si>
  <si>
    <t>\\inbgecmapps\Airline Invoices\DEV\2020\November_15_84934\SpiceJet\k5176l_12920_0000766467_62.pdf</t>
  </si>
  <si>
    <t>13320/0001034155</t>
  </si>
  <si>
    <t>MS. PURVISHA PRAMILA SITRAMBALAM</t>
  </si>
  <si>
    <t>K75RHV</t>
  </si>
  <si>
    <t>C:\Users\eugg_bc_3\Box Sync\Airline Invoices\DEV\2020\November_15_84934\csvFiles\k75rhv_13320_0001034155_60.pdf.csv</t>
  </si>
  <si>
    <t>\\inbgecmapps\Airline Invoices\DEV\2020\November_15_84934\SpiceJet\k75rhv_13320_0001034155_60.pdf</t>
  </si>
  <si>
    <t>33320/0000122850</t>
  </si>
  <si>
    <t>C:\Users\eugg_bc_3\Box Sync\Airline Invoices\DEV\2020\November_15_84934\csvFiles\k75rhv_33320_0000122850_61.pdf.csv</t>
  </si>
  <si>
    <t>\\inbgecmapps\Airline Invoices\DEV\2020\November_15_84934\SpiceJet\k75rhv_33320_0000122850_61.pdf</t>
  </si>
  <si>
    <t>12920/0000236792</t>
  </si>
  <si>
    <t>MS. PRIYA RAVI PILLAY</t>
  </si>
  <si>
    <t>K7V9RS</t>
  </si>
  <si>
    <t>C:\Users\eugg_bc_3\Box Sync\Airline Invoices\DEV\2020\November_15_84934\csvFiles\k7v9rs_12920_0000236792_58.pdf.csv</t>
  </si>
  <si>
    <t>\\inbgecmapps\Airline Invoices\DEV\2020\November_15_84934\SpiceJet\k7v9rs_12920_0000236792_58.pdf</t>
  </si>
  <si>
    <t>13320/0000267379</t>
  </si>
  <si>
    <t>C:\Users\eugg_bc_3\Box Sync\Airline Invoices\DEV\2020\November_15_84934\csvFiles\k7v9rs_13320_0000267379_59.pdf.csv</t>
  </si>
  <si>
    <t>\\inbgecmapps\Airline Invoices\DEV\2020\November_15_84934\SpiceJet\k7v9rs_13320_0000267379_59.pdf</t>
  </si>
  <si>
    <t>13320/0000364794</t>
  </si>
  <si>
    <t>MR. ANAND BALASUBRAMANIAN</t>
  </si>
  <si>
    <t>KB9C7G</t>
  </si>
  <si>
    <t>C:\Users\eugg_bc_3\Box Sync\Airline Invoices\DEV\2020\November_15_84934\csvFiles\kb9c7g_13320_0000364794_63.pdf.csv</t>
  </si>
  <si>
    <t>\\inbgecmapps\Airline Invoices\DEV\2020\November_15_84934\SpiceJet\kb9c7g_13320_0000364794_63.pdf</t>
  </si>
  <si>
    <t>13320/0000364795</t>
  </si>
  <si>
    <t>C:\Users\eugg_bc_3\Box Sync\Airline Invoices\DEV\2020\November_15_84934\csvFiles\kb9c7g_13320_0000364795_64.pdf.csv</t>
  </si>
  <si>
    <t>\\inbgecmapps\Airline Invoices\DEV\2020\November_15_84934\SpiceJet\kb9c7g_13320_0000364795_64.pdf</t>
  </si>
  <si>
    <t>13320/0001034190</t>
  </si>
  <si>
    <t>MR. JOYTISH JOHN MATHIRAPPILY DEVASSY</t>
  </si>
  <si>
    <t>KCCZ9T</t>
  </si>
  <si>
    <t>C:\Users\eugg_bc_3\Box Sync\Airline Invoices\DEV\2020\November_15_84934\csvFiles\kccz9t_13320_0001034190_65.pdf.csv</t>
  </si>
  <si>
    <t>\\inbgecmapps\Airline Invoices\DEV\2020\November_15_84934\SpiceJet\kccz9t_13320_0001034190_65.pdf</t>
  </si>
  <si>
    <t>33320/0000122844</t>
  </si>
  <si>
    <t>C:\Users\eugg_bc_3\Box Sync\Airline Invoices\DEV\2020\November_15_84934\csvFiles\kccz9t_33320_0000122844_66.pdf.csv</t>
  </si>
  <si>
    <t>\\inbgecmapps\Airline Invoices\DEV\2020\November_15_84934\SpiceJet\kccz9t_33320_0000122844_66.pdf</t>
  </si>
  <si>
    <t>13320/0000789206</t>
  </si>
  <si>
    <t>KEZJ8N</t>
  </si>
  <si>
    <t>C:\Users\eugg_bc_3\Box Sync\Airline Invoices\DEV\2020\November_15_84934\csvFiles\kezj8n_13320_0000789206_67.pdf.csv</t>
  </si>
  <si>
    <t>\\inbgecmapps\Airline Invoices\DEV\2020\November_15_84934\SpiceJet\kezj8n_13320_0000789206_67.pdf</t>
  </si>
  <si>
    <t>13320/0000364802</t>
  </si>
  <si>
    <t>L7BDHF</t>
  </si>
  <si>
    <t>C:\Users\eugg_bc_3\Box Sync\Airline Invoices\DEV\2020\November_15_84934\csvFiles\l7bdhf_13320_0000364802_68.pdf.csv</t>
  </si>
  <si>
    <t>\\inbgecmapps\Airline Invoices\DEV\2020\November_15_84934\SpiceJet\l7bdhf_13320_0000364802_68.pdf</t>
  </si>
  <si>
    <t>12920/0000804538</t>
  </si>
  <si>
    <t>MR. RAJA SUBRAMANI</t>
  </si>
  <si>
    <t>LBG92G</t>
  </si>
  <si>
    <t>C:\Users\eugg_bc_3\Box Sync\Airline Invoices\DEV\2020\November_15_84934\csvFiles\lbg92g_12920_0000804538_69.pdf.csv</t>
  </si>
  <si>
    <t>\\inbgecmapps\Airline Invoices\DEV\2020\November_15_84934\SpiceJet\lbg92g_12920_0000804538_69.pdf</t>
  </si>
  <si>
    <t>13620/0000592513</t>
  </si>
  <si>
    <t>36AACCR1459F1ZH</t>
  </si>
  <si>
    <t>MR. RAMESH KUMAR DINDI</t>
  </si>
  <si>
    <t>LGK3PX</t>
  </si>
  <si>
    <t>C:\Users\eugg_bc_3\Box Sync\Airline Invoices\DEV\2020\November_15_84934\csvFiles\lgk3px_13620_0000592513_70.pdf.csv</t>
  </si>
  <si>
    <t>\\inbgecmapps\Airline Invoices\DEV\2020\November_15_84934\SpiceJet\lgk3px_13620_0000592513_70.pdf</t>
  </si>
  <si>
    <t>13320/0000364734</t>
  </si>
  <si>
    <t>MS. ANURADHA NARENDRA KUMAR</t>
  </si>
  <si>
    <t>MEHJMN</t>
  </si>
  <si>
    <t>C:\Users\eugg_bc_3\Box Sync\Airline Invoices\DEV\2020\November_15_84934\csvFiles\mehjmn_13320_0000364734_71.pdf.csv</t>
  </si>
  <si>
    <t>\\inbgecmapps\Airline Invoices\DEV\2020\November_15_84934\SpiceJet\mehjmn_13320_0000364734_71.pdf</t>
  </si>
  <si>
    <t>13320/0000364735</t>
  </si>
  <si>
    <t>C:\Users\eugg_bc_3\Box Sync\Airline Invoices\DEV\2020\November_15_84934\csvFiles\mehjmn_13320_0000364735_72.pdf.csv</t>
  </si>
  <si>
    <t>\\inbgecmapps\Airline Invoices\DEV\2020\November_15_84934\SpiceJet\mehjmn_13320_0000364735_72.pdf</t>
  </si>
  <si>
    <t>13320/0000054467</t>
  </si>
  <si>
    <t>15/04/2019</t>
  </si>
  <si>
    <t>MR. SIVAKUMAR PADMANABHAN</t>
  </si>
  <si>
    <t>MG215U</t>
  </si>
  <si>
    <t>C:\Users\eugg_bc_3\Box Sync\Airline Invoices\DEV\2020\November_15_84934\csvFiles\mg215u_13320_0000054467_73.pdf.csv</t>
  </si>
  <si>
    <t>\\inbgecmapps\Airline Invoices\DEV\2020\November_15_84934\SpiceJet\mg215u_13320_0000054467_73.pdf</t>
  </si>
  <si>
    <t>13320/0000523567</t>
  </si>
  <si>
    <t>12/08/2019</t>
  </si>
  <si>
    <t>MY7LNM</t>
  </si>
  <si>
    <t>C:\Users\eugg_bc_3\Box Sync\Airline Invoices\DEV\2020\November_15_84934\csvFiles\my7lnm_13320_0000523567_74.pdf.csv</t>
  </si>
  <si>
    <t>\\inbgecmapps\Airline Invoices\DEV\2020\November_15_84934\SpiceJet\my7lnm_13320_0000523567_74.pdf</t>
  </si>
  <si>
    <t>12920/0000240645</t>
  </si>
  <si>
    <t>N62GNY</t>
  </si>
  <si>
    <t>C:\Users\eugg_bc_3\Box Sync\Airline Invoices\DEV\2020\November_15_84934\csvFiles\n62gny_12920_0000240645_76.pdf.csv</t>
  </si>
  <si>
    <t>\\inbgecmapps\Airline Invoices\DEV\2020\November_15_84934\SpiceJet\n62gny_12920_0000240645_76.pdf</t>
  </si>
  <si>
    <t>13320/0000271781</t>
  </si>
  <si>
    <t>C:\Users\eugg_bc_3\Box Sync\Airline Invoices\DEV\2020\November_15_84934\csvFiles\n62gny_13320_0000271781_77.pdf.csv</t>
  </si>
  <si>
    <t>\\inbgecmapps\Airline Invoices\DEV\2020\November_15_84934\SpiceJet\n62gny_13320_0000271781_77.pdf</t>
  </si>
  <si>
    <t>13320/0000435132</t>
  </si>
  <si>
    <t>N6VU7F</t>
  </si>
  <si>
    <t>C:\Users\eugg_bc_3\Box Sync\Airline Invoices\DEV\2020\November_15_84934\csvFiles\n6vu7f_13320_0000435132_75.pdf.csv</t>
  </si>
  <si>
    <t>\\inbgecmapps\Airline Invoices\DEV\2020\November_15_84934\SpiceJet\n6vu7f_13320_0000435132_75.pdf</t>
  </si>
  <si>
    <t>13320/0001032771</t>
  </si>
  <si>
    <t>MR. ABHISHEK PALAKKAL KALIYATH</t>
  </si>
  <si>
    <t>OBUIWJ</t>
  </si>
  <si>
    <t>C:\Users\eugg_bc_3\Box Sync\Airline Invoices\DEV\2020\November_15_84934\csvFiles\obuiwj_13320_0001032771_78.pdf.csv</t>
  </si>
  <si>
    <t>\\inbgecmapps\Airline Invoices\DEV\2020\November_15_84934\SpiceJet\obuiwj_13320_0001032771_78.pdf</t>
  </si>
  <si>
    <t>33320/0000122853</t>
  </si>
  <si>
    <t>C:\Users\eugg_bc_3\Box Sync\Airline Invoices\DEV\2020\November_15_84934\csvFiles\obuiwj_33320_0000122853_79.pdf.csv</t>
  </si>
  <si>
    <t>\\inbgecmapps\Airline Invoices\DEV\2020\November_15_84934\SpiceJet\obuiwj_33320_0000122853_79.pdf</t>
  </si>
  <si>
    <t>12920/0000770127</t>
  </si>
  <si>
    <t>MR. VIJAY BABU</t>
  </si>
  <si>
    <t>ODWBTD</t>
  </si>
  <si>
    <t>C:\Users\eugg_bc_3\Box Sync\Airline Invoices\DEV\2020\November_15_84934\csvFiles\odwbtd_12920_0000770127_80.pdf.csv</t>
  </si>
  <si>
    <t>\\inbgecmapps\Airline Invoices\DEV\2020\November_15_84934\SpiceJet\odwbtd_12920_0000770127_80.pdf</t>
  </si>
  <si>
    <t>12920/0000756201</t>
  </si>
  <si>
    <t>OGTG9U</t>
  </si>
  <si>
    <t>C:\Users\eugg_bc_3\Box Sync\Airline Invoices\DEV\2020\November_15_84934\csvFiles\ogtg9u_12920_0000756201_81.pdf.csv</t>
  </si>
  <si>
    <t>\\inbgecmapps\Airline Invoices\DEV\2020\November_15_84934\SpiceJet\ogtg9u_12920_0000756201_81.pdf</t>
  </si>
  <si>
    <t>13320/0000945806</t>
  </si>
  <si>
    <t>OYK27Z</t>
  </si>
  <si>
    <t>C:\Users\eugg_bc_3\Box Sync\Airline Invoices\DEV\2020\November_15_84934\csvFiles\oyk27z_13320_0000945806_82.pdf.csv</t>
  </si>
  <si>
    <t>\\inbgecmapps\Airline Invoices\DEV\2020\November_15_84934\SpiceJet\oyk27z_13320_0000945806_82.pdf</t>
  </si>
  <si>
    <t>12920/0000227530</t>
  </si>
  <si>
    <t>10/06/2019</t>
  </si>
  <si>
    <t>PCVEUT</t>
  </si>
  <si>
    <t>C:\Users\eugg_bc_3\Box Sync\Airline Invoices\DEV\2020\November_15_84934\csvFiles\pcveut_12920_0000227530_83.pdf.csv</t>
  </si>
  <si>
    <t>\\inbgecmapps\Airline Invoices\DEV\2020\November_15_84934\SpiceJet\pcveut_12920_0000227530_83.pdf</t>
  </si>
  <si>
    <t>13320/0000257092</t>
  </si>
  <si>
    <t>C:\Users\eugg_bc_3\Box Sync\Airline Invoices\DEV\2020\November_15_84934\csvFiles\pcveut_13320_0000257092_84.pdf.csv</t>
  </si>
  <si>
    <t>\\inbgecmapps\Airline Invoices\DEV\2020\November_15_84934\SpiceJet\pcveut_13320_0000257092_84.pdf</t>
  </si>
  <si>
    <t>13320/0000809226</t>
  </si>
  <si>
    <t>QD2B5D</t>
  </si>
  <si>
    <t>C:\Users\eugg_bc_3\Box Sync\Airline Invoices\DEV\2020\November_15_84934\csvFiles\qd2b5d_13320_0000809226_85.pdf.csv</t>
  </si>
  <si>
    <t>\\inbgecmapps\Airline Invoices\DEV\2020\November_15_84934\SpiceJet\qd2b5d_13320_0000809226_85.pdf</t>
  </si>
  <si>
    <t>12920/0000782558</t>
  </si>
  <si>
    <t>QIG1FR</t>
  </si>
  <si>
    <t>C:\Users\eugg_bc_3\Box Sync\Airline Invoices\DEV\2020\November_15_84934\csvFiles\qig1fr_12920_0000782558_86.pdf.csv</t>
  </si>
  <si>
    <t>\\inbgecmapps\Airline Invoices\DEV\2020\November_15_84934\SpiceJet\qig1fr_12920_0000782558_86.pdf</t>
  </si>
  <si>
    <t>32920/0000083038</t>
  </si>
  <si>
    <t>C:\Users\eugg_bc_3\Box Sync\Airline Invoices\DEV\2020\November_15_84934\csvFiles\qig1fr_32920_0000083038_87.pdf.csv</t>
  </si>
  <si>
    <t>\\inbgecmapps\Airline Invoices\DEV\2020\November_15_84934\SpiceJet\qig1fr_32920_0000083038_87.pdf</t>
  </si>
  <si>
    <t>12920/0000484356</t>
  </si>
  <si>
    <t>R78D5F</t>
  </si>
  <si>
    <t>C:\Users\eugg_bc_3\Box Sync\Airline Invoices\DEV\2020\November_15_84934\csvFiles\r78d5f_12920_0000484356_88.pdf.csv</t>
  </si>
  <si>
    <t>\\inbgecmapps\Airline Invoices\DEV\2020\November_15_84934\SpiceJet\r78d5f_12920_0000484356_88.pdf</t>
  </si>
  <si>
    <t>12920/0000882817</t>
  </si>
  <si>
    <t>18/11/2019</t>
  </si>
  <si>
    <t>MR. TUSHAR KAPOOR</t>
  </si>
  <si>
    <t>RCRFMG</t>
  </si>
  <si>
    <t>C:\Users\eugg_bc_3\Box Sync\Airline Invoices\DEV\2020\November_15_84934\csvFiles\rcrfmg_12920_0000882817_89.pdf.csv</t>
  </si>
  <si>
    <t>\\inbgecmapps\Airline Invoices\DEV\2020\November_15_84934\SpiceJet\rcrfmg_12920_0000882817_89.pdf</t>
  </si>
  <si>
    <t>13320/0000911685</t>
  </si>
  <si>
    <t>15/11/2019</t>
  </si>
  <si>
    <t>MS. SWAPNA SOWNTHARARAJAN</t>
  </si>
  <si>
    <t>RDMCGD</t>
  </si>
  <si>
    <t>C:\Users\eugg_bc_3\Box Sync\Airline Invoices\DEV\2020\November_15_84934\csvFiles\rdmcgd_13320_0000911685_90.pdf.csv</t>
  </si>
  <si>
    <t>\\inbgecmapps\Airline Invoices\DEV\2020\November_15_84934\SpiceJet\rdmcgd_13320_0000911685_90.pdf</t>
  </si>
  <si>
    <t>13320/0000832360</t>
  </si>
  <si>
    <t>REESTQ</t>
  </si>
  <si>
    <t>C:\Users\eugg_bc_3\Box Sync\Airline Invoices\DEV\2020\November_15_84934\csvFiles\reestq_13320_0000832360_91.pdf.csv</t>
  </si>
  <si>
    <t>\\inbgecmapps\Airline Invoices\DEV\2020\November_15_84934\SpiceJet\reestq_13320_0000832360_91.pdf</t>
  </si>
  <si>
    <t>13320/0000613877</t>
  </si>
  <si>
    <t>S5CN3L</t>
  </si>
  <si>
    <t>C:\Users\eugg_bc_3\Box Sync\Airline Invoices\DEV\2020\November_15_84934\csvFiles\s5cn3l_13320_0000613877_92.pdf.csv</t>
  </si>
  <si>
    <t>\\inbgecmapps\Airline Invoices\DEV\2020\November_15_84934\SpiceJet\s5cn3l_13320_0000613877_92.pdf</t>
  </si>
  <si>
    <t>13320/0000798666</t>
  </si>
  <si>
    <t>MR. SIVAKUMAR VENKATASWAMY GURUSWAMY</t>
  </si>
  <si>
    <t>SC2R3G</t>
  </si>
  <si>
    <t>C:\Users\eugg_bc_3\Box Sync\Airline Invoices\DEV\2020\November_15_84934\csvFiles\sc2r3g_13320_0000798666_93.pdf.csv</t>
  </si>
  <si>
    <t>\\inbgecmapps\Airline Invoices\DEV\2020\November_15_84934\SpiceJet\sc2r3g_13320_0000798666_93.pdf</t>
  </si>
  <si>
    <t>12920/0000357305</t>
  </si>
  <si>
    <t>12/07/2019</t>
  </si>
  <si>
    <t>SFS47X</t>
  </si>
  <si>
    <t>C:\Users\eugg_bc_3\Box Sync\Airline Invoices\DEV\2020\November_15_84934\csvFiles\sfs47x_12920_0000357305_94.pdf.csv</t>
  </si>
  <si>
    <t>\\inbgecmapps\Airline Invoices\DEV\2020\November_15_84934\SpiceJet\sfs47x_12920_0000357305_94.pdf</t>
  </si>
  <si>
    <t>13320/0000613964</t>
  </si>
  <si>
    <t>T99UPC</t>
  </si>
  <si>
    <t>C:\Users\eugg_bc_3\Box Sync\Airline Invoices\DEV\2020\November_15_84934\csvFiles\t99upc_13320_0000613964_95.pdf.csv</t>
  </si>
  <si>
    <t>\\inbgecmapps\Airline Invoices\DEV\2020\November_15_84934\SpiceJet\t99upc_13320_0000613964_95.pdf</t>
  </si>
  <si>
    <t>InterGlobe Aviation Limited</t>
  </si>
  <si>
    <t>KA1202109AE98689</t>
  </si>
  <si>
    <t>04/09/2020</t>
  </si>
  <si>
    <t>29AABCI2726B1ZY</t>
  </si>
  <si>
    <t>JLKWMD</t>
  </si>
  <si>
    <t>Group_110</t>
  </si>
  <si>
    <t>C:\Users\eugg_bc_3\Box Sync\Airline Invoices\DEV\2020\November_15_84934\csvFiles\taxinvoiceka1202109ae98689_0.pdf.csv</t>
  </si>
  <si>
    <t>\\inbgecmapps\Airline Invoices\DEV\2020\November_15_84934\Indigo\taxinvoiceka1202109ae98689_0.pdf</t>
  </si>
  <si>
    <t>13320/0000455647</t>
  </si>
  <si>
    <t>TEIBYQ</t>
  </si>
  <si>
    <t>C:\Users\eugg_bc_3\Box Sync\Airline Invoices\DEV\2020\November_15_84934\csvFiles\teibyq_13320_0000455647_96.pdf.csv</t>
  </si>
  <si>
    <t>\\inbgecmapps\Airline Invoices\DEV\2020\November_15_84934\SpiceJet\teibyq_13320_0000455647_96.pdf</t>
  </si>
  <si>
    <t>13320/0001032703</t>
  </si>
  <si>
    <t>U5LN2L</t>
  </si>
  <si>
    <t>C:\Users\eugg_bc_3\Box Sync\Airline Invoices\DEV\2020\November_15_84934\csvFiles\u5ln2l_13320_0001032703_97.pdf.csv</t>
  </si>
  <si>
    <t>\\inbgecmapps\Airline Invoices\DEV\2020\November_15_84934\SpiceJet\u5ln2l_13320_0001032703_97.pdf</t>
  </si>
  <si>
    <t>33320/0000122840</t>
  </si>
  <si>
    <t>C:\Users\eugg_bc_3\Box Sync\Airline Invoices\DEV\2020\November_15_84934\csvFiles\u5ln2l_33320_0000122840_98.pdf.csv</t>
  </si>
  <si>
    <t>\\inbgecmapps\Airline Invoices\DEV\2020\November_15_84934\SpiceJet\u5ln2l_33320_0000122840_98.pdf</t>
  </si>
  <si>
    <t>13320/0000794339</t>
  </si>
  <si>
    <t>U7JI3F</t>
  </si>
  <si>
    <t>C:\Users\eugg_bc_3\Box Sync\Airline Invoices\DEV\2020\November_15_84934\csvFiles\u7ji3f_13320_0000794339_99.pdf.csv</t>
  </si>
  <si>
    <t>\\inbgecmapps\Airline Invoices\DEV\2020\November_15_84934\SpiceJet\u7ji3f_13320_0000794339_99.pdf</t>
  </si>
  <si>
    <t>UNITED AIRLINES INC.</t>
  </si>
  <si>
    <t>UAHP1920-007983</t>
  </si>
  <si>
    <t>06AACCC6506G1ZZ</t>
  </si>
  <si>
    <t>0163091617698</t>
  </si>
  <si>
    <t>Group_107</t>
  </si>
  <si>
    <t>C:\Users\eugg_bc_3\Box Sync\Airline Invoices\DEV\2020\November_15_84934\csvFiles\uahp1920-007983_2.pdf.csv</t>
  </si>
  <si>
    <t>\\inbgecmapps\Airline Invoices\DEV\2020\November_15_84934\United\uahp1920-007983_2.pdf</t>
  </si>
  <si>
    <t>UAHP1920-007984</t>
  </si>
  <si>
    <t>0163091625567</t>
  </si>
  <si>
    <t>C:\Users\eugg_bc_3\Box Sync\Airline Invoices\DEV\2020\November_15_84934\csvFiles\uahp1920-007984_1.pdf.csv</t>
  </si>
  <si>
    <t>\\inbgecmapps\Airline Invoices\DEV\2020\November_15_84934\United\uahp1920-007984_1.pdf</t>
  </si>
  <si>
    <t>13320/0001032660</t>
  </si>
  <si>
    <t>V6MGSL</t>
  </si>
  <si>
    <t>C:\Users\eugg_bc_3\Box Sync\Airline Invoices\DEV\2020\November_15_84934\csvFiles\v6mgsl_13320_0001032660_100.pdf.csv</t>
  </si>
  <si>
    <t>\\inbgecmapps\Airline Invoices\DEV\2020\November_15_84934\SpiceJet\v6mgsl_13320_0001032660_100.pdf</t>
  </si>
  <si>
    <t>33320/0000122843</t>
  </si>
  <si>
    <t>C:\Users\eugg_bc_3\Box Sync\Airline Invoices\DEV\2020\November_15_84934\csvFiles\v6mgsl_33320_0000122843_101.pdf.csv</t>
  </si>
  <si>
    <t>\\inbgecmapps\Airline Invoices\DEV\2020\November_15_84934\SpiceJet\v6mgsl_33320_0000122843_101.pdf</t>
  </si>
  <si>
    <t>12920/0000367231</t>
  </si>
  <si>
    <t>V8I19C</t>
  </si>
  <si>
    <t>C:\Users\eugg_bc_3\Box Sync\Airline Invoices\DEV\2020\November_15_84934\csvFiles\v8i19c_12920_0000367231_102.pdf.csv</t>
  </si>
  <si>
    <t>\\inbgecmapps\Airline Invoices\DEV\2020\November_15_84934\SpiceJet\v8i19c_12920_0000367231_102.pdf</t>
  </si>
  <si>
    <t>13320/0000455664</t>
  </si>
  <si>
    <t>V8VB3P</t>
  </si>
  <si>
    <t>C:\Users\eugg_bc_3\Box Sync\Airline Invoices\DEV\2020\November_15_84934\csvFiles\v8vb3p_13320_0000455664_103.pdf.csv</t>
  </si>
  <si>
    <t>\\inbgecmapps\Airline Invoices\DEV\2020\November_15_84934\SpiceJet\v8vb3p_13320_0000455664_103.pdf</t>
  </si>
  <si>
    <t>13320/0000922818</t>
  </si>
  <si>
    <t>VCEKYJ</t>
  </si>
  <si>
    <t>C:\Users\eugg_bc_3\Box Sync\Airline Invoices\DEV\2020\November_15_84934\csvFiles\vcekyj_13320_0000922818_104.pdf.csv</t>
  </si>
  <si>
    <t>\\inbgecmapps\Airline Invoices\DEV\2020\November_15_84934\SpiceJet\vcekyj_13320_0000922818_104.pdf</t>
  </si>
  <si>
    <t>13320/0000364783</t>
  </si>
  <si>
    <t>MR. BABU RAM SHANKAR SIVASUBRAMANIAN</t>
  </si>
  <si>
    <t>VE3R9A</t>
  </si>
  <si>
    <t>C:\Users\eugg_bc_3\Box Sync\Airline Invoices\DEV\2020\November_15_84934\csvFiles\ve3r9a_13320_0000364783_105.pdf.csv</t>
  </si>
  <si>
    <t>\\inbgecmapps\Airline Invoices\DEV\2020\November_15_84934\SpiceJet\ve3r9a_13320_0000364783_105.pdf</t>
  </si>
  <si>
    <t>13320/0000364784</t>
  </si>
  <si>
    <t>C:\Users\eugg_bc_3\Box Sync\Airline Invoices\DEV\2020\November_15_84934\csvFiles\ve3r9a_13320_0000364784_106.pdf.csv</t>
  </si>
  <si>
    <t>\\inbgecmapps\Airline Invoices\DEV\2020\November_15_84934\SpiceJet\ve3r9a_13320_0000364784_106.pdf</t>
  </si>
  <si>
    <t>12920/0000770414</t>
  </si>
  <si>
    <t>VGZNWN</t>
  </si>
  <si>
    <t>C:\Users\eugg_bc_3\Box Sync\Airline Invoices\DEV\2020\November_15_84934\csvFiles\vgznwn_12920_0000770414_107.pdf.csv</t>
  </si>
  <si>
    <t>\\inbgecmapps\Airline Invoices\DEV\2020\November_15_84934\SpiceJet\vgznwn_12920_0000770414_107.pdf</t>
  </si>
  <si>
    <t>13320/0000783523</t>
  </si>
  <si>
    <t>W46QUE</t>
  </si>
  <si>
    <t>C:\Users\eugg_bc_3\Box Sync\Airline Invoices\DEV\2020\November_15_84934\csvFiles\w46que_13320_0000783523_108.pdf.csv</t>
  </si>
  <si>
    <t>\\inbgecmapps\Airline Invoices\DEV\2020\November_15_84934\SpiceJet\w46que_13320_0000783523_108.pdf</t>
  </si>
  <si>
    <t>13320/0000365461</t>
  </si>
  <si>
    <t>WEKQ8N</t>
  </si>
  <si>
    <t>C:\Users\eugg_bc_3\Box Sync\Airline Invoices\DEV\2020\November_15_84934\csvFiles\wekq8n_13320_0000365461_109.pdf.csv</t>
  </si>
  <si>
    <t>\\inbgecmapps\Airline Invoices\DEV\2020\November_15_84934\SpiceJet\wekq8n_13320_0000365461_109.pdf</t>
  </si>
  <si>
    <t>13320/0000365462</t>
  </si>
  <si>
    <t>C:\Users\eugg_bc_3\Box Sync\Airline Invoices\DEV\2020\November_15_84934\csvFiles\wekq8n_13320_0000365462_110.pdf.csv</t>
  </si>
  <si>
    <t>\\inbgecmapps\Airline Invoices\DEV\2020\November_15_84934\SpiceJet\wekq8n_13320_0000365462_110.pdf</t>
  </si>
  <si>
    <t>13320/0000966473</t>
  </si>
  <si>
    <t>XE6BGD</t>
  </si>
  <si>
    <t>C:\Users\eugg_bc_3\Box Sync\Airline Invoices\DEV\2020\November_15_84934\csvFiles\xe6bgd_13320_0000966473_111.pdf.csv</t>
  </si>
  <si>
    <t>\\inbgecmapps\Airline Invoices\DEV\2020\November_15_84934\SpiceJet\xe6bgd_13320_0000966473_111.pdf</t>
  </si>
  <si>
    <t>13320/0000364767</t>
  </si>
  <si>
    <t>XGPJ6H</t>
  </si>
  <si>
    <t>C:\Users\eugg_bc_3\Box Sync\Airline Invoices\DEV\2020\November_15_84934\csvFiles\xgpj6h_13320_0000364767_112.pdf.csv</t>
  </si>
  <si>
    <t>\\inbgecmapps\Airline Invoices\DEV\2020\November_15_84934\SpiceJet\xgpj6h_13320_0000364767_112.pdf</t>
  </si>
  <si>
    <t>13320/0000364768</t>
  </si>
  <si>
    <t>C:\Users\eugg_bc_3\Box Sync\Airline Invoices\DEV\2020\November_15_84934\csvFiles\xgpj6h_13320_0000364768_113.pdf.csv</t>
  </si>
  <si>
    <t>\\inbgecmapps\Airline Invoices\DEV\2020\November_15_84934\SpiceJet\xgpj6h_13320_0000364768_113.pdf</t>
  </si>
  <si>
    <t>13320/0001067053</t>
  </si>
  <si>
    <t>19/12/2019</t>
  </si>
  <si>
    <t>Y4MR5B</t>
  </si>
  <si>
    <t>C:\Users\eugg_bc_3\Box Sync\Airline Invoices\DEV\2020\November_15_84934\csvFiles\y4mr5b_13320_0001067053_114.pdf.csv</t>
  </si>
  <si>
    <t>\\inbgecmapps\Airline Invoices\DEV\2020\November_15_84934\SpiceJet\y4mr5b_13320_0001067053_114.pdf</t>
  </si>
  <si>
    <t>33320/0000118547</t>
  </si>
  <si>
    <t>02/01/2020</t>
  </si>
  <si>
    <t>C:\Users\eugg_bc_3\Box Sync\Airline Invoices\DEV\2020\November_15_84934\csvFiles\y4mr5b_33320_0000118547_115.pdf.csv</t>
  </si>
  <si>
    <t>\\inbgecmapps\Airline Invoices\DEV\2020\November_15_84934\SpiceJet\y4mr5b_33320_0000118547_115.pdf</t>
  </si>
  <si>
    <t>13320/0000935036</t>
  </si>
  <si>
    <t>20/11/2019</t>
  </si>
  <si>
    <t>MS. SUHASINI BRAGADEESHWARAN</t>
  </si>
  <si>
    <t>Y7FUTY</t>
  </si>
  <si>
    <t>C:\Users\eugg_bc_3\Box Sync\Airline Invoices\DEV\2020\November_15_84934\csvFiles\y7futy_13320_0000935036_116.pdf.csv</t>
  </si>
  <si>
    <t>\\inbgecmapps\Airline Invoices\DEV\2020\November_15_84934\SpiceJet\y7futy_13320_0000935036_116.pdf</t>
  </si>
  <si>
    <t>13320/0000366949</t>
  </si>
  <si>
    <t>MS. BRINDHA JAYARAMAN</t>
  </si>
  <si>
    <t>YB9Z7J</t>
  </si>
  <si>
    <t>C:\Users\eugg_bc_3\Box Sync\Airline Invoices\DEV\2020\November_15_84934\csvFiles\yb9z7j_13320_0000366949_117.pdf.csv</t>
  </si>
  <si>
    <t>\\inbgecmapps\Airline Invoices\DEV\2020\November_15_84934\SpiceJet\yb9z7j_13320_0000366949_117.pdf</t>
  </si>
  <si>
    <t>13320/0000366950</t>
  </si>
  <si>
    <t>C:\Users\eugg_bc_3\Box Sync\Airline Invoices\DEV\2020\November_15_84934\csvFiles\yb9z7j_13320_0000366950_118.pdf.csv</t>
  </si>
  <si>
    <t>\\inbgecmapps\Airline Invoices\DEV\2020\November_15_84934\SpiceJet\yb9z7j_13320_0000366950_118.pdf</t>
  </si>
  <si>
    <t>13320/0000364756</t>
  </si>
  <si>
    <t>MR. BALAJI SUKUMAR</t>
  </si>
  <si>
    <t>YH6I5U</t>
  </si>
  <si>
    <t>C:\Users\eugg_bc_3\Box Sync\Airline Invoices\DEV\2020\November_15_84934\csvFiles\yh6i5u_13320_0000364756_119.pdf.csv</t>
  </si>
  <si>
    <t>\\inbgecmapps\Airline Invoices\DEV\2020\November_15_84934\SpiceJet\yh6i5u_13320_0000364756_119.pdf</t>
  </si>
  <si>
    <t>13320/0000364757</t>
  </si>
  <si>
    <t>C:\Users\eugg_bc_3\Box Sync\Airline Invoices\DEV\2020\November_15_84934\csvFiles\yh6i5u_13320_0000364757_120.pdf.csv</t>
  </si>
  <si>
    <t>\\inbgecmapps\Airline Invoices\DEV\2020\November_15_84934\SpiceJet\yh6i5u_13320_0000364757_120.pdf</t>
  </si>
  <si>
    <t>13320/0000364771</t>
  </si>
  <si>
    <t>MR. JIM JOSE JAMES</t>
  </si>
  <si>
    <t>Z44H6B</t>
  </si>
  <si>
    <t>C:\Users\eugg_bc_3\Box Sync\Airline Invoices\DEV\2020\November_15_84934\csvFiles\z44h6b_13320_0000364771_121.pdf.csv</t>
  </si>
  <si>
    <t>\\inbgecmapps\Airline Invoices\DEV\2020\November_15_84934\SpiceJet\z44h6b_13320_0000364771_121.pdf</t>
  </si>
  <si>
    <t>13320/0000364772</t>
  </si>
  <si>
    <t>C:\Users\eugg_bc_3\Box Sync\Airline Invoices\DEV\2020\November_15_84934\csvFiles\z44h6b_13320_0000364772_122.pdf.csv</t>
  </si>
  <si>
    <t>\\inbgecmapps\Airline Invoices\DEV\2020\November_15_84934\SpiceJet\z44h6b_13320_0000364772_122.pdf</t>
  </si>
  <si>
    <t>12920/0000488123</t>
  </si>
  <si>
    <t>MS. KIRTHIKA RADHAKRISHNAN</t>
  </si>
  <si>
    <t>ZC5CRJ</t>
  </si>
  <si>
    <t>C:\Users\eugg_bc_3\Box Sync\Airline Invoices\DEV\2020\November_15_84934\csvFiles\zc5crj_12920_0000488123_123.pdf.csv</t>
  </si>
  <si>
    <t>\\inbgecmapps\Airline Invoices\DEV\2020\November_15_84934\SpiceJet\zc5crj_12920_0000488123_123.pdf</t>
  </si>
  <si>
    <t>13320/0000364792</t>
  </si>
  <si>
    <t>MR. SHYAM SUNDAR</t>
  </si>
  <si>
    <t>ZGIHQK</t>
  </si>
  <si>
    <t>C:\Users\eugg_bc_3\Box Sync\Airline Invoices\DEV\2020\November_15_84934\csvFiles\zgihqk_13320_0000364792_13.pdf.csv</t>
  </si>
  <si>
    <t>\\inbgecmapps\Airline Invoices\DEV\2020\November_15_84934\SpiceJet\zgihqk_13320_0000364792_13.pdf</t>
  </si>
  <si>
    <t>04092020</t>
  </si>
  <si>
    <t>InterGlobe Aviation Limited - FY 19-20</t>
  </si>
  <si>
    <t>15122019</t>
  </si>
  <si>
    <t>Singapore Airlines Limited - FY 19-20</t>
  </si>
  <si>
    <t>15102019</t>
  </si>
  <si>
    <t>22102019</t>
  </si>
  <si>
    <t>22112019</t>
  </si>
  <si>
    <t>13062019</t>
  </si>
  <si>
    <t>SpiceJet Limited - FY 19-20</t>
  </si>
  <si>
    <t>22072019</t>
  </si>
  <si>
    <t>13082019</t>
  </si>
  <si>
    <t>07112019</t>
  </si>
  <si>
    <t>21082019</t>
  </si>
  <si>
    <t>26072019</t>
  </si>
  <si>
    <t>02072019</t>
  </si>
  <si>
    <t>12112019</t>
  </si>
  <si>
    <t>19102019</t>
  </si>
  <si>
    <t>17102019</t>
  </si>
  <si>
    <t>15072019</t>
  </si>
  <si>
    <t>08092019</t>
  </si>
  <si>
    <t>06092019</t>
  </si>
  <si>
    <t>12062019</t>
  </si>
  <si>
    <t>11122019</t>
  </si>
  <si>
    <t>05072019</t>
  </si>
  <si>
    <t>25102019</t>
  </si>
  <si>
    <t>11112019</t>
  </si>
  <si>
    <t>08082019</t>
  </si>
  <si>
    <t>10012020</t>
  </si>
  <si>
    <t>27112019</t>
  </si>
  <si>
    <t>06012020</t>
  </si>
  <si>
    <t>21102019</t>
  </si>
  <si>
    <t>15042019</t>
  </si>
  <si>
    <t>12082019</t>
  </si>
  <si>
    <t>10062019</t>
  </si>
  <si>
    <t>18112019</t>
  </si>
  <si>
    <t>15112019</t>
  </si>
  <si>
    <t>12072019</t>
  </si>
  <si>
    <t>19122019</t>
  </si>
  <si>
    <t>02012020</t>
  </si>
  <si>
    <t>20112019</t>
  </si>
  <si>
    <t>24092019</t>
  </si>
  <si>
    <t>Swiss International Airlines - FY 19-20</t>
  </si>
  <si>
    <t>THAI AIRWAYS INTERNATIONAL PUBLIC COMPANY LIMITED - FY 19-20</t>
  </si>
  <si>
    <t>27062019</t>
  </si>
  <si>
    <t>30082019</t>
  </si>
  <si>
    <t>12122019</t>
  </si>
  <si>
    <t>13122019</t>
  </si>
  <si>
    <t>05022020</t>
  </si>
  <si>
    <t>UNITED AIRLINES INC. - FY 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</si>
</sst>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Trebuchet MS"/>
      <family val="2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9"/>
      <name val="Trebuchet MS"/>
      <family val="2"/>
    </font>
    <font>
      <b/>
      <sz val="9"/>
      <name val="Trebuchet MS"/>
      <family val="2"/>
    </font>
    <font>
      <b/>
      <sz val="9"/>
      <color rgb="FFFF0000"/>
      <name val="Trebuchet MS"/>
      <family val="2"/>
    </font>
    <font>
      <sz val="9"/>
      <color indexed="9"/>
      <name val="Trebuchet MS"/>
      <family val="2"/>
    </font>
    <font>
      <b/>
      <sz val="9"/>
      <color indexed="10"/>
      <name val="Trebuchet MS"/>
      <family val="2"/>
    </font>
    <font>
      <sz val="9"/>
      <color indexed="48"/>
      <name val="Trebuchet MS"/>
      <family val="2"/>
    </font>
    <font>
      <b/>
      <i/>
      <sz val="9"/>
      <color indexed="48"/>
      <name val="Trebuchet MS"/>
      <family val="2"/>
    </font>
    <font>
      <sz val="9"/>
      <color rgb="FFFF0000"/>
      <name val="Trebuchet MS"/>
      <family val="2"/>
    </font>
    <font>
      <b/>
      <i/>
      <sz val="9"/>
      <color rgb="FFFF0000"/>
      <name val="Trebuchet MS"/>
      <family val="2"/>
    </font>
    <font>
      <b/>
      <i/>
      <sz val="9"/>
      <name val="Trebuchet MS"/>
      <family val="2"/>
    </font>
    <font>
      <sz val="9"/>
      <color indexed="10"/>
      <name val="Trebuchet MS"/>
      <family val="2"/>
    </font>
    <font>
      <sz val="11"/>
      <color rgb="FFFF6600"/>
      <name val="Calibri"/>
      <family val="2"/>
    </font>
    <font>
      <sz val="8"/>
      <color rgb="FF222222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4" fillId="0" borderId="0">
      <alignment vertical="center"/>
    </xf>
    <xf numFmtId="40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3" fillId="3" borderId="1" xfId="1" applyFont="1" applyFill="1" applyBorder="1" applyAlignment="1"/>
    <xf numFmtId="0" fontId="1" fillId="3" borderId="1" xfId="0" applyFont="1" applyFill="1" applyBorder="1"/>
    <xf numFmtId="0" fontId="6" fillId="4" borderId="0" xfId="3" applyFont="1" applyFill="1" applyBorder="1" applyProtection="1"/>
    <xf numFmtId="0" fontId="6" fillId="0" borderId="0" xfId="3" applyFont="1" applyBorder="1" applyProtection="1"/>
    <xf numFmtId="0" fontId="7" fillId="5" borderId="0" xfId="3" applyFont="1" applyFill="1" applyBorder="1" applyAlignment="1" applyProtection="1"/>
    <xf numFmtId="0" fontId="7" fillId="0" borderId="0" xfId="3" applyFont="1" applyFill="1" applyBorder="1" applyAlignment="1" applyProtection="1"/>
    <xf numFmtId="0" fontId="6" fillId="0" borderId="0" xfId="3" applyFont="1" applyFill="1" applyBorder="1" applyProtection="1"/>
    <xf numFmtId="0" fontId="6" fillId="4" borderId="0" xfId="4" applyFont="1" applyFill="1" applyAlignment="1" applyProtection="1">
      <alignment horizontal="left"/>
    </xf>
    <xf numFmtId="0" fontId="6" fillId="4" borderId="0" xfId="4" applyFont="1" applyFill="1" applyProtection="1"/>
    <xf numFmtId="0" fontId="6" fillId="0" borderId="0" xfId="4" applyFont="1" applyProtection="1"/>
    <xf numFmtId="0" fontId="6" fillId="0" borderId="0" xfId="4" applyFont="1" applyAlignment="1" applyProtection="1">
      <alignment horizontal="center" vertical="center" wrapText="1"/>
    </xf>
    <xf numFmtId="0" fontId="9" fillId="4" borderId="0" xfId="4" applyFont="1" applyFill="1" applyAlignment="1" applyProtection="1">
      <alignment horizontal="center" vertical="center" wrapText="1"/>
    </xf>
    <xf numFmtId="0" fontId="6" fillId="4" borderId="0" xfId="4" applyFont="1" applyFill="1" applyBorder="1" applyAlignment="1" applyProtection="1">
      <alignment horizontal="center" vertical="center"/>
    </xf>
    <xf numFmtId="0" fontId="6" fillId="4" borderId="1" xfId="4" applyFont="1" applyFill="1" applyBorder="1" applyAlignment="1" applyProtection="1">
      <alignment horizontal="center" vertical="center"/>
    </xf>
    <xf numFmtId="0" fontId="9" fillId="4" borderId="0" xfId="4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Alignment="1" applyProtection="1">
      <alignment horizontal="center" vertical="center" wrapText="1"/>
      <protection locked="0"/>
    </xf>
    <xf numFmtId="0" fontId="6" fillId="0" borderId="0" xfId="4" applyFont="1" applyBorder="1" applyAlignment="1" applyProtection="1">
      <alignment horizontal="center" vertical="center"/>
    </xf>
    <xf numFmtId="0" fontId="11" fillId="0" borderId="0" xfId="4" applyFont="1" applyProtection="1"/>
    <xf numFmtId="0" fontId="11" fillId="4" borderId="0" xfId="4" applyFont="1" applyFill="1" applyProtection="1"/>
    <xf numFmtId="0" fontId="13" fillId="0" borderId="0" xfId="4" applyFont="1" applyProtection="1"/>
    <xf numFmtId="0" fontId="13" fillId="4" borderId="0" xfId="4" applyFont="1" applyFill="1" applyProtection="1"/>
    <xf numFmtId="0" fontId="6" fillId="0" borderId="0" xfId="5" applyFont="1" applyProtection="1"/>
    <xf numFmtId="0" fontId="15" fillId="8" borderId="2" xfId="5" applyFont="1" applyFill="1" applyBorder="1" applyProtection="1"/>
    <xf numFmtId="0" fontId="6" fillId="8" borderId="3" xfId="5" applyFont="1" applyFill="1" applyBorder="1" applyProtection="1"/>
    <xf numFmtId="2" fontId="16" fillId="8" borderId="3" xfId="5" applyNumberFormat="1" applyFont="1" applyFill="1" applyBorder="1" applyAlignment="1" applyProtection="1">
      <alignment horizontal="right"/>
    </xf>
    <xf numFmtId="0" fontId="16" fillId="8" borderId="3" xfId="5" applyFont="1" applyFill="1" applyBorder="1" applyProtection="1"/>
    <xf numFmtId="0" fontId="16" fillId="8" borderId="3" xfId="5" applyNumberFormat="1" applyFont="1" applyFill="1" applyBorder="1" applyProtection="1"/>
    <xf numFmtId="0" fontId="6" fillId="9" borderId="1" xfId="5" applyFont="1" applyFill="1" applyBorder="1" applyProtection="1"/>
    <xf numFmtId="0" fontId="6" fillId="10" borderId="1" xfId="5" applyFont="1" applyFill="1" applyBorder="1" applyProtection="1"/>
    <xf numFmtId="0" fontId="6" fillId="11" borderId="1" xfId="5" applyFont="1" applyFill="1" applyBorder="1" applyProtection="1"/>
    <xf numFmtId="0" fontId="6" fillId="8" borderId="1" xfId="5" applyFont="1" applyFill="1" applyBorder="1" applyProtection="1"/>
    <xf numFmtId="0" fontId="6" fillId="10" borderId="1" xfId="5" applyFont="1" applyFill="1" applyBorder="1" applyAlignment="1" applyProtection="1">
      <alignment horizontal="left"/>
    </xf>
    <xf numFmtId="2" fontId="6" fillId="8" borderId="1" xfId="5" applyNumberFormat="1" applyFont="1" applyFill="1" applyBorder="1" applyAlignment="1" applyProtection="1">
      <alignment horizontal="left"/>
    </xf>
    <xf numFmtId="0" fontId="6" fillId="11" borderId="1" xfId="5" applyFont="1" applyFill="1" applyBorder="1" applyAlignment="1" applyProtection="1">
      <alignment horizontal="left"/>
    </xf>
    <xf numFmtId="0" fontId="6" fillId="11" borderId="1" xfId="5" applyNumberFormat="1" applyFont="1" applyFill="1" applyBorder="1" applyAlignment="1" applyProtection="1">
      <alignment horizontal="left"/>
    </xf>
    <xf numFmtId="0" fontId="6" fillId="8" borderId="1" xfId="5" applyFont="1" applyFill="1" applyBorder="1" applyAlignment="1" applyProtection="1">
      <alignment horizontal="left"/>
    </xf>
    <xf numFmtId="0" fontId="6" fillId="9" borderId="6" xfId="5" applyFont="1" applyFill="1" applyBorder="1" applyAlignment="1" applyProtection="1">
      <alignment horizontal="left"/>
    </xf>
    <xf numFmtId="0" fontId="6" fillId="12" borderId="6" xfId="5" applyFont="1" applyFill="1" applyBorder="1" applyAlignment="1" applyProtection="1">
      <alignment horizontal="left"/>
    </xf>
    <xf numFmtId="0" fontId="6" fillId="11" borderId="6" xfId="5" applyFont="1" applyFill="1" applyBorder="1" applyAlignment="1" applyProtection="1">
      <alignment horizontal="left"/>
    </xf>
    <xf numFmtId="0" fontId="6" fillId="12" borderId="1" xfId="5" applyFont="1" applyFill="1" applyBorder="1" applyAlignment="1" applyProtection="1">
      <alignment horizontal="left"/>
    </xf>
    <xf numFmtId="2" fontId="3" fillId="3" borderId="1" xfId="1" applyNumberFormat="1" applyFont="1" applyFill="1" applyBorder="1" applyAlignment="1"/>
    <xf numFmtId="0" fontId="15" fillId="7" borderId="3" xfId="5" applyFont="1" applyFill="1" applyBorder="1" applyAlignment="1" applyProtection="1">
      <alignment horizontal="left"/>
    </xf>
    <xf numFmtId="0" fontId="15" fillId="7" borderId="4" xfId="5" applyFont="1" applyFill="1" applyBorder="1" applyAlignment="1" applyProtection="1">
      <alignment horizontal="left"/>
    </xf>
    <xf numFmtId="49" fontId="3" fillId="3" borderId="1" xfId="1" applyNumberFormat="1" applyFont="1" applyFill="1" applyBorder="1" applyAlignment="1"/>
    <xf numFmtId="49" fontId="0" fillId="0" borderId="0" xfId="0" applyNumberFormat="1"/>
    <xf numFmtId="49" fontId="0" fillId="0" borderId="0" xfId="0" quotePrefix="1" applyNumberFormat="1"/>
    <xf numFmtId="49" fontId="3" fillId="3" borderId="1" xfId="1" applyNumberFormat="1" applyFont="1" applyFill="1" applyBorder="1" applyAlignment="1">
      <alignment wrapText="1"/>
    </xf>
    <xf numFmtId="0" fontId="18" fillId="0" borderId="0" xfId="0" applyFont="1"/>
    <xf numFmtId="4" fontId="0" fillId="0" borderId="0" xfId="0" applyNumberFormat="1"/>
    <xf numFmtId="49" fontId="6" fillId="4" borderId="0" xfId="3" applyNumberFormat="1" applyFont="1" applyFill="1" applyBorder="1" applyAlignment="1" applyProtection="1">
      <alignment horizontal="left"/>
    </xf>
    <xf numFmtId="49" fontId="7" fillId="5" borderId="0" xfId="3" applyNumberFormat="1" applyFont="1" applyFill="1" applyBorder="1" applyAlignment="1" applyProtection="1">
      <alignment horizontal="left"/>
    </xf>
    <xf numFmtId="49" fontId="7" fillId="0" borderId="0" xfId="3" applyNumberFormat="1" applyFont="1" applyFill="1" applyBorder="1" applyAlignment="1" applyProtection="1">
      <alignment horizontal="left"/>
    </xf>
    <xf numFmtId="49" fontId="8" fillId="0" borderId="1" xfId="3" applyNumberFormat="1" applyFont="1" applyFill="1" applyBorder="1" applyAlignment="1" applyProtection="1">
      <alignment horizontal="left" vertical="center"/>
    </xf>
    <xf numFmtId="49" fontId="9" fillId="4" borderId="0" xfId="4" applyNumberFormat="1" applyFont="1" applyFill="1" applyAlignment="1" applyProtection="1">
      <alignment horizontal="left"/>
    </xf>
    <xf numFmtId="49" fontId="6" fillId="4" borderId="0" xfId="4" applyNumberFormat="1" applyFont="1" applyFill="1" applyBorder="1" applyAlignment="1" applyProtection="1">
      <alignment horizontal="left" vertical="center"/>
    </xf>
    <xf numFmtId="49" fontId="12" fillId="4" borderId="0" xfId="4" applyNumberFormat="1" applyFont="1" applyFill="1" applyAlignment="1" applyProtection="1">
      <alignment horizontal="left"/>
    </xf>
    <xf numFmtId="49" fontId="14" fillId="4" borderId="0" xfId="4" applyNumberFormat="1" applyFont="1" applyFill="1" applyAlignment="1" applyProtection="1">
      <alignment horizontal="left"/>
    </xf>
    <xf numFmtId="49" fontId="15" fillId="7" borderId="2" xfId="5" applyNumberFormat="1" applyFont="1" applyFill="1" applyBorder="1" applyAlignment="1" applyProtection="1">
      <alignment horizontal="left"/>
    </xf>
    <xf numFmtId="49" fontId="6" fillId="9" borderId="1" xfId="5" applyNumberFormat="1" applyFont="1" applyFill="1" applyBorder="1" applyAlignment="1" applyProtection="1">
      <alignment horizontal="left"/>
    </xf>
    <xf numFmtId="49" fontId="6" fillId="9" borderId="6" xfId="5" applyNumberFormat="1" applyFont="1" applyFill="1" applyBorder="1" applyAlignment="1" applyProtection="1">
      <alignment horizontal="left"/>
    </xf>
    <xf numFmtId="49" fontId="0" fillId="0" borderId="0" xfId="0" applyNumberFormat="1" applyAlignment="1">
      <alignment horizontal="left"/>
    </xf>
    <xf numFmtId="49" fontId="6" fillId="4" borderId="0" xfId="3" applyNumberFormat="1" applyFont="1" applyFill="1" applyBorder="1" applyProtection="1"/>
    <xf numFmtId="49" fontId="7" fillId="5" borderId="0" xfId="3" applyNumberFormat="1" applyFont="1" applyFill="1" applyBorder="1" applyAlignment="1" applyProtection="1"/>
    <xf numFmtId="49" fontId="7" fillId="0" borderId="0" xfId="3" applyNumberFormat="1" applyFont="1" applyFill="1" applyBorder="1" applyAlignment="1" applyProtection="1"/>
    <xf numFmtId="49" fontId="6" fillId="4" borderId="0" xfId="4" applyNumberFormat="1" applyFont="1" applyFill="1" applyAlignment="1" applyProtection="1">
      <alignment horizontal="left"/>
    </xf>
    <xf numFmtId="49" fontId="6" fillId="4" borderId="0" xfId="4" applyNumberFormat="1" applyFont="1" applyFill="1" applyBorder="1" applyAlignment="1" applyProtection="1">
      <alignment horizontal="center" vertical="center"/>
    </xf>
    <xf numFmtId="49" fontId="11" fillId="4" borderId="0" xfId="4" applyNumberFormat="1" applyFont="1" applyFill="1" applyProtection="1"/>
    <xf numFmtId="49" fontId="13" fillId="4" borderId="0" xfId="4" applyNumberFormat="1" applyFont="1" applyFill="1" applyProtection="1"/>
    <xf numFmtId="49" fontId="15" fillId="7" borderId="3" xfId="5" applyNumberFormat="1" applyFont="1" applyFill="1" applyBorder="1" applyAlignment="1" applyProtection="1">
      <alignment horizontal="left"/>
    </xf>
    <xf numFmtId="49" fontId="6" fillId="9" borderId="1" xfId="5" applyNumberFormat="1" applyFont="1" applyFill="1" applyBorder="1" applyProtection="1"/>
    <xf numFmtId="0" fontId="2" fillId="0" borderId="0" xfId="8"/>
    <xf numFmtId="49" fontId="3" fillId="3" borderId="1" xfId="1" applyNumberFormat="1" applyFont="1" applyFill="1" applyBorder="1" applyAlignment="1">
      <alignment horizontal="left"/>
    </xf>
    <xf numFmtId="0" fontId="0" fillId="0" borderId="0" xfId="0" applyFill="1"/>
    <xf numFmtId="49" fontId="19" fillId="0" borderId="0" xfId="0" applyNumberFormat="1" applyFont="1" applyFill="1"/>
    <xf numFmtId="49" fontId="0" fillId="0" borderId="0" xfId="0" applyNumberFormat="1" applyFill="1"/>
    <xf numFmtId="0" fontId="6" fillId="4" borderId="1" xfId="4" applyFont="1" applyFill="1" applyBorder="1" applyAlignment="1" applyProtection="1">
      <alignment horizontal="left" vertical="top" wrapText="1"/>
      <protection locked="0"/>
    </xf>
    <xf numFmtId="0" fontId="16" fillId="8" borderId="3" xfId="5" applyFont="1" applyFill="1" applyBorder="1" applyAlignment="1" applyProtection="1">
      <alignment horizontal="center"/>
    </xf>
    <xf numFmtId="0" fontId="16" fillId="8" borderId="4" xfId="5" applyFont="1" applyFill="1" applyBorder="1" applyAlignment="1" applyProtection="1">
      <alignment horizontal="center"/>
    </xf>
    <xf numFmtId="0" fontId="6" fillId="9" borderId="6" xfId="5" applyFont="1" applyFill="1" applyBorder="1" applyAlignment="1" applyProtection="1">
      <alignment horizontal="center" vertical="center"/>
    </xf>
    <xf numFmtId="0" fontId="6" fillId="9" borderId="7" xfId="5" applyFont="1" applyFill="1" applyBorder="1" applyAlignment="1" applyProtection="1">
      <alignment horizontal="center" vertical="center"/>
    </xf>
    <xf numFmtId="0" fontId="9" fillId="4" borderId="5" xfId="4" applyFont="1" applyFill="1" applyBorder="1" applyAlignment="1" applyProtection="1">
      <alignment horizontal="center" vertical="center" wrapText="1"/>
      <protection locked="0"/>
    </xf>
    <xf numFmtId="0" fontId="9" fillId="4" borderId="0" xfId="4" applyFont="1" applyFill="1" applyBorder="1" applyAlignment="1" applyProtection="1">
      <alignment horizontal="center" vertical="center" wrapText="1"/>
      <protection locked="0"/>
    </xf>
    <xf numFmtId="0" fontId="9" fillId="4" borderId="0" xfId="4" quotePrefix="1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Border="1" applyAlignment="1" applyProtection="1">
      <alignment horizontal="left" vertical="top" wrapText="1"/>
      <protection locked="0"/>
    </xf>
    <xf numFmtId="0" fontId="9" fillId="4" borderId="0" xfId="4" applyFont="1" applyFill="1" applyBorder="1" applyAlignment="1" applyProtection="1">
      <alignment horizontal="center" vertical="top" wrapText="1"/>
      <protection locked="0"/>
    </xf>
    <xf numFmtId="0" fontId="9" fillId="4" borderId="5" xfId="4" quotePrefix="1" applyFont="1" applyFill="1" applyBorder="1" applyAlignment="1" applyProtection="1">
      <alignment horizontal="center" vertical="center" wrapText="1"/>
      <protection locked="0"/>
    </xf>
    <xf numFmtId="0" fontId="9" fillId="4" borderId="5" xfId="4" applyFont="1" applyFill="1" applyBorder="1" applyAlignment="1" applyProtection="1">
      <alignment horizontal="center" vertical="center" wrapText="1"/>
    </xf>
    <xf numFmtId="0" fontId="9" fillId="4" borderId="0" xfId="4" applyFont="1" applyFill="1" applyBorder="1" applyAlignment="1" applyProtection="1">
      <alignment horizontal="center" vertical="center" wrapText="1"/>
    </xf>
    <xf numFmtId="0" fontId="9" fillId="4" borderId="0" xfId="4" applyFont="1" applyFill="1" applyAlignment="1" applyProtection="1">
      <alignment horizontal="center" vertical="center" wrapText="1"/>
    </xf>
    <xf numFmtId="0" fontId="7" fillId="4" borderId="1" xfId="4" applyFont="1" applyFill="1" applyBorder="1" applyAlignment="1" applyProtection="1">
      <alignment horizontal="center" vertical="center" wrapText="1"/>
    </xf>
    <xf numFmtId="0" fontId="7" fillId="6" borderId="2" xfId="3" applyFont="1" applyFill="1" applyBorder="1" applyAlignment="1" applyProtection="1">
      <alignment horizontal="left" vertical="center"/>
    </xf>
    <xf numFmtId="0" fontId="7" fillId="6" borderId="3" xfId="3" applyFont="1" applyFill="1" applyBorder="1" applyAlignment="1" applyProtection="1">
      <alignment horizontal="left" vertical="center"/>
    </xf>
    <xf numFmtId="0" fontId="7" fillId="6" borderId="4" xfId="3" applyFont="1" applyFill="1" applyBorder="1" applyAlignment="1" applyProtection="1">
      <alignment horizontal="left" vertical="center"/>
    </xf>
    <xf numFmtId="49" fontId="10" fillId="4" borderId="1" xfId="4" applyNumberFormat="1" applyFont="1" applyFill="1" applyBorder="1" applyAlignment="1" applyProtection="1">
      <alignment horizontal="left" vertical="center" wrapText="1"/>
    </xf>
    <xf numFmtId="0" fontId="6" fillId="4" borderId="5" xfId="4" applyFont="1" applyFill="1" applyBorder="1" applyAlignment="1" applyProtection="1">
      <alignment horizontal="center" vertical="center"/>
    </xf>
    <xf numFmtId="0" fontId="6" fillId="4" borderId="0" xfId="4" applyFont="1" applyFill="1" applyBorder="1" applyAlignment="1" applyProtection="1">
      <alignment horizontal="center" vertical="center"/>
    </xf>
    <xf numFmtId="0" fontId="6" fillId="4" borderId="8" xfId="4" applyFont="1" applyFill="1" applyBorder="1" applyAlignment="1" applyProtection="1">
      <alignment horizontal="center" vertical="center"/>
    </xf>
  </cellXfs>
  <cellStyles count="9">
    <cellStyle name="Comma 2" xfId="2" xr:uid="{7A3E7D1E-EE11-4830-8E7E-CB8ED7D1EC57}"/>
    <cellStyle name="Comma 2 2" xfId="7" xr:uid="{BEB26EED-6626-4BC3-BBF7-F48015EEEFBD}"/>
    <cellStyle name="Hyperlink" xfId="8" builtinId="8"/>
    <cellStyle name="Normal" xfId="0" builtinId="0"/>
    <cellStyle name="Normal 2" xfId="1" xr:uid="{F89A6AE9-C443-4B40-B019-3A804C54DD9B}"/>
    <cellStyle name="Normal 2 2" xfId="5" xr:uid="{04EFE31E-25AE-40F1-8040-BD54CDAF811D}"/>
    <cellStyle name="Normal 2 3 2 2" xfId="6" xr:uid="{74642949-184B-43C0-B654-A73BCDC6BE3D}"/>
    <cellStyle name="Normal_Internal Order Master Data Maintenance Form_MassData" xfId="3" xr:uid="{9168444F-0E4C-4E38-8FA8-062DA22C49E7}"/>
    <cellStyle name="Normal_ZVN Dec07-new" xfId="4" xr:uid="{48632602-15E2-4F7A-A626-9D03B1FB46AE}"/>
  </cellStyles>
  <dxfs count="3"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28575</xdr:rowOff>
    </xdr:from>
    <xdr:ext cx="1097280" cy="307004"/>
    <xdr:pic>
      <xdr:nvPicPr>
        <xdr:cNvPr id="2" name="Picture 4" descr=" AZ Log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775" y="28575"/>
          <a:ext cx="1097280" cy="3070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6</xdr:row>
          <xdr:rowOff>9525</xdr:rowOff>
        </xdr:from>
        <xdr:to>
          <xdr:col>10</xdr:col>
          <xdr:colOff>371475</xdr:colOff>
          <xdr:row>7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Generate MJV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zbp117/Box%20Sync/AZ%20Robotic%20&amp;%20Cognitive%20Centre%20-%20Delivery/02%20Phase%202%20Onwards/Finance/239%20-%20GST%20Rebate%20Claim%20and%20Processing/02.%20Plan%20Phase/JV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stin.lufthansa@ssiip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F556-98CB-4524-9DAC-EE5E7B1029E9}">
  <sheetPr codeName="Sheet6"/>
  <dimension ref="A1:X561"/>
  <sheetViews>
    <sheetView topLeftCell="A39" workbookViewId="0">
      <selection activeCell="B1" sqref="B1:B1048576"/>
    </sheetView>
  </sheetViews>
  <sheetFormatPr defaultRowHeight="15" outlineLevelRow="1"/>
  <cols>
    <col min="2" max="2" width="17.42578125" style="63" customWidth="1"/>
    <col min="5" max="5" width="24" style="47" customWidth="1"/>
    <col min="10" max="10" width="15.28515625" customWidth="1"/>
    <col min="16" max="16" width="16.7109375" customWidth="1"/>
  </cols>
  <sheetData>
    <row r="1" spans="2:24" s="6" customFormat="1">
      <c r="B1" s="52"/>
      <c r="C1" s="5"/>
      <c r="D1" s="5"/>
      <c r="E1" s="64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2:24" s="6" customFormat="1">
      <c r="B2" s="52"/>
      <c r="C2" s="5"/>
      <c r="D2" s="5"/>
      <c r="E2" s="64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2:24" s="6" customFormat="1">
      <c r="B3" s="53" t="s">
        <v>71</v>
      </c>
      <c r="C3" s="7"/>
      <c r="D3" s="7"/>
      <c r="E3" s="65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2:24" s="9" customFormat="1">
      <c r="B4" s="54"/>
      <c r="C4" s="8"/>
      <c r="D4" s="8"/>
      <c r="E4" s="66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2:24" s="9" customFormat="1">
      <c r="B5" s="55" t="s">
        <v>72</v>
      </c>
      <c r="C5" s="94" t="s">
        <v>73</v>
      </c>
      <c r="D5" s="95"/>
      <c r="E5" s="96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2:24" s="9" customFormat="1">
      <c r="B6" s="55" t="s">
        <v>74</v>
      </c>
      <c r="C6" s="94" t="s">
        <v>75</v>
      </c>
      <c r="D6" s="95"/>
      <c r="E6" s="96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2:24" s="12" customFormat="1" ht="12.75" customHeight="1">
      <c r="B7" s="56"/>
      <c r="C7" s="10"/>
      <c r="D7" s="10"/>
      <c r="E7" s="67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 spans="2:24" s="13" customFormat="1" ht="22.5" customHeight="1">
      <c r="B8" s="97" t="s">
        <v>76</v>
      </c>
      <c r="C8" s="98"/>
      <c r="D8" s="99"/>
      <c r="E8" s="100"/>
      <c r="F8" s="93" t="s">
        <v>77</v>
      </c>
      <c r="G8" s="93" t="s">
        <v>78</v>
      </c>
      <c r="H8" s="93"/>
      <c r="I8" s="93"/>
      <c r="J8" s="93"/>
      <c r="K8" s="90" t="s">
        <v>79</v>
      </c>
      <c r="L8" s="91"/>
      <c r="M8" s="91"/>
      <c r="N8" s="92" t="s">
        <v>80</v>
      </c>
      <c r="O8" s="92"/>
      <c r="P8" s="92"/>
      <c r="Q8" s="92" t="s">
        <v>81</v>
      </c>
      <c r="R8" s="92"/>
      <c r="S8" s="92" t="s">
        <v>82</v>
      </c>
      <c r="T8" s="92"/>
      <c r="U8" s="92"/>
      <c r="V8" s="91" t="s">
        <v>83</v>
      </c>
      <c r="W8" s="91"/>
    </row>
    <row r="9" spans="2:24" s="13" customFormat="1" ht="11.25" customHeight="1">
      <c r="B9" s="97"/>
      <c r="C9" s="98"/>
      <c r="D9" s="99"/>
      <c r="E9" s="100"/>
      <c r="F9" s="93"/>
      <c r="G9" s="93"/>
      <c r="H9" s="93"/>
      <c r="I9" s="93"/>
      <c r="J9" s="93"/>
      <c r="K9" s="90" t="s">
        <v>84</v>
      </c>
      <c r="L9" s="91"/>
      <c r="M9" s="91"/>
      <c r="N9" s="92" t="s">
        <v>85</v>
      </c>
      <c r="O9" s="92"/>
      <c r="P9" s="14" t="s">
        <v>86</v>
      </c>
      <c r="Q9" s="92"/>
      <c r="R9" s="92"/>
      <c r="S9" s="92" t="s">
        <v>87</v>
      </c>
      <c r="T9" s="92"/>
      <c r="U9" s="14" t="s">
        <v>88</v>
      </c>
      <c r="V9" s="91"/>
      <c r="W9" s="91"/>
    </row>
    <row r="10" spans="2:24" s="19" customFormat="1" ht="11.25" customHeight="1">
      <c r="B10" s="57"/>
      <c r="C10" s="15"/>
      <c r="D10" s="15"/>
      <c r="E10" s="68"/>
      <c r="F10" s="16"/>
      <c r="G10" s="78"/>
      <c r="H10" s="78"/>
      <c r="I10" s="78"/>
      <c r="J10" s="78"/>
      <c r="K10" s="89"/>
      <c r="L10" s="84"/>
      <c r="M10" s="84"/>
      <c r="N10" s="85"/>
      <c r="O10" s="86"/>
      <c r="P10" s="17"/>
      <c r="Q10" s="87"/>
      <c r="R10" s="87"/>
      <c r="S10" s="86" t="s">
        <v>89</v>
      </c>
      <c r="T10" s="86"/>
      <c r="U10" s="18" t="s">
        <v>90</v>
      </c>
      <c r="V10" s="88"/>
      <c r="W10" s="88"/>
    </row>
    <row r="11" spans="2:24" s="19" customFormat="1" ht="11.25" customHeight="1">
      <c r="B11" s="57"/>
      <c r="C11" s="15"/>
      <c r="D11" s="15"/>
      <c r="E11" s="68"/>
      <c r="F11" s="16"/>
      <c r="G11" s="78"/>
      <c r="H11" s="78"/>
      <c r="I11" s="78"/>
      <c r="J11" s="78"/>
      <c r="K11" s="89"/>
      <c r="L11" s="84"/>
      <c r="M11" s="84"/>
      <c r="N11" s="85"/>
      <c r="O11" s="86"/>
      <c r="P11" s="17"/>
      <c r="Q11" s="87"/>
      <c r="R11" s="87"/>
      <c r="S11" s="86" t="s">
        <v>89</v>
      </c>
      <c r="T11" s="86"/>
      <c r="U11" s="18" t="s">
        <v>90</v>
      </c>
      <c r="V11" s="88"/>
      <c r="W11" s="88"/>
    </row>
    <row r="12" spans="2:24" s="19" customFormat="1" ht="11.25" customHeight="1">
      <c r="B12" s="57"/>
      <c r="C12" s="15"/>
      <c r="D12" s="15"/>
      <c r="E12" s="68"/>
      <c r="F12" s="16"/>
      <c r="G12" s="78"/>
      <c r="H12" s="78"/>
      <c r="I12" s="78"/>
      <c r="J12" s="78"/>
      <c r="K12" s="89"/>
      <c r="L12" s="84"/>
      <c r="M12" s="84"/>
      <c r="N12" s="85"/>
      <c r="O12" s="86"/>
      <c r="P12" s="17"/>
      <c r="Q12" s="87"/>
      <c r="R12" s="87"/>
      <c r="S12" s="86" t="s">
        <v>89</v>
      </c>
      <c r="T12" s="86"/>
      <c r="U12" s="18" t="s">
        <v>90</v>
      </c>
      <c r="V12" s="88"/>
      <c r="W12" s="88"/>
    </row>
    <row r="13" spans="2:24" s="19" customFormat="1" ht="11.25" hidden="1" customHeight="1" outlineLevel="1">
      <c r="B13" s="57"/>
      <c r="C13" s="15"/>
      <c r="D13" s="15"/>
      <c r="E13" s="68"/>
      <c r="F13" s="16"/>
      <c r="G13" s="78"/>
      <c r="H13" s="78"/>
      <c r="I13" s="78"/>
      <c r="J13" s="78"/>
      <c r="K13" s="83" t="s">
        <v>90</v>
      </c>
      <c r="L13" s="84"/>
      <c r="M13" s="84"/>
      <c r="N13" s="85"/>
      <c r="O13" s="86"/>
      <c r="P13" s="17"/>
      <c r="Q13" s="87"/>
      <c r="R13" s="87"/>
      <c r="S13" s="86" t="s">
        <v>89</v>
      </c>
      <c r="T13" s="86"/>
      <c r="U13" s="18" t="s">
        <v>90</v>
      </c>
      <c r="V13" s="88"/>
      <c r="W13" s="88"/>
    </row>
    <row r="14" spans="2:24" s="19" customFormat="1" ht="11.25" hidden="1" customHeight="1" outlineLevel="1">
      <c r="B14" s="57"/>
      <c r="C14" s="15"/>
      <c r="D14" s="15"/>
      <c r="E14" s="68"/>
      <c r="F14" s="16"/>
      <c r="G14" s="78"/>
      <c r="H14" s="78"/>
      <c r="I14" s="78"/>
      <c r="J14" s="78"/>
      <c r="K14" s="83" t="s">
        <v>90</v>
      </c>
      <c r="L14" s="84"/>
      <c r="M14" s="84"/>
      <c r="N14" s="85"/>
      <c r="O14" s="86"/>
      <c r="P14" s="17"/>
      <c r="Q14" s="87"/>
      <c r="R14" s="87"/>
      <c r="S14" s="86" t="s">
        <v>89</v>
      </c>
      <c r="T14" s="86"/>
      <c r="U14" s="18" t="s">
        <v>90</v>
      </c>
      <c r="V14" s="88"/>
      <c r="W14" s="88"/>
    </row>
    <row r="15" spans="2:24" s="19" customFormat="1" ht="11.25" hidden="1" customHeight="1" outlineLevel="1">
      <c r="B15" s="57"/>
      <c r="C15" s="15"/>
      <c r="D15" s="15"/>
      <c r="E15" s="68"/>
      <c r="F15" s="16"/>
      <c r="G15" s="78"/>
      <c r="H15" s="78"/>
      <c r="I15" s="78"/>
      <c r="J15" s="78"/>
      <c r="K15" s="83" t="s">
        <v>90</v>
      </c>
      <c r="L15" s="84"/>
      <c r="M15" s="84"/>
      <c r="N15" s="85"/>
      <c r="O15" s="86"/>
      <c r="P15" s="17"/>
      <c r="Q15" s="87"/>
      <c r="R15" s="87"/>
      <c r="S15" s="86" t="s">
        <v>89</v>
      </c>
      <c r="T15" s="86"/>
      <c r="U15" s="18" t="s">
        <v>90</v>
      </c>
      <c r="V15" s="88"/>
      <c r="W15" s="88"/>
    </row>
    <row r="16" spans="2:24" s="19" customFormat="1" ht="11.25" hidden="1" customHeight="1" outlineLevel="1">
      <c r="B16" s="57"/>
      <c r="C16" s="15"/>
      <c r="D16" s="15"/>
      <c r="E16" s="68"/>
      <c r="F16" s="16"/>
      <c r="G16" s="78"/>
      <c r="H16" s="78"/>
      <c r="I16" s="78"/>
      <c r="J16" s="78"/>
      <c r="K16" s="83" t="s">
        <v>90</v>
      </c>
      <c r="L16" s="84"/>
      <c r="M16" s="84"/>
      <c r="N16" s="85"/>
      <c r="O16" s="86"/>
      <c r="P16" s="17"/>
      <c r="Q16" s="87"/>
      <c r="R16" s="87"/>
      <c r="S16" s="86" t="s">
        <v>89</v>
      </c>
      <c r="T16" s="86"/>
      <c r="U16" s="18" t="s">
        <v>90</v>
      </c>
      <c r="V16" s="88"/>
      <c r="W16" s="88"/>
    </row>
    <row r="17" spans="1:24" s="19" customFormat="1" ht="11.25" hidden="1" customHeight="1" outlineLevel="1">
      <c r="B17" s="57"/>
      <c r="C17" s="15"/>
      <c r="D17" s="15"/>
      <c r="E17" s="68"/>
      <c r="F17" s="16"/>
      <c r="G17" s="78"/>
      <c r="H17" s="78"/>
      <c r="I17" s="78"/>
      <c r="J17" s="78"/>
      <c r="K17" s="83" t="s">
        <v>90</v>
      </c>
      <c r="L17" s="84"/>
      <c r="M17" s="84"/>
      <c r="N17" s="85"/>
      <c r="O17" s="86"/>
      <c r="P17" s="17"/>
      <c r="Q17" s="87"/>
      <c r="R17" s="87"/>
      <c r="S17" s="86" t="s">
        <v>89</v>
      </c>
      <c r="T17" s="86"/>
      <c r="U17" s="18" t="s">
        <v>90</v>
      </c>
      <c r="V17" s="88"/>
      <c r="W17" s="88"/>
    </row>
    <row r="18" spans="1:24" s="19" customFormat="1" ht="11.25" hidden="1" customHeight="1" outlineLevel="1">
      <c r="B18" s="57"/>
      <c r="C18" s="15"/>
      <c r="D18" s="15"/>
      <c r="E18" s="68"/>
      <c r="F18" s="16"/>
      <c r="G18" s="78"/>
      <c r="H18" s="78"/>
      <c r="I18" s="78"/>
      <c r="J18" s="78"/>
      <c r="K18" s="83" t="s">
        <v>90</v>
      </c>
      <c r="L18" s="84"/>
      <c r="M18" s="84"/>
      <c r="N18" s="85"/>
      <c r="O18" s="86"/>
      <c r="P18" s="17"/>
      <c r="Q18" s="87"/>
      <c r="R18" s="87"/>
      <c r="S18" s="86" t="s">
        <v>89</v>
      </c>
      <c r="T18" s="86"/>
      <c r="U18" s="18" t="s">
        <v>90</v>
      </c>
      <c r="V18" s="88"/>
      <c r="W18" s="88"/>
    </row>
    <row r="19" spans="1:24" s="19" customFormat="1" ht="11.25" hidden="1" customHeight="1" outlineLevel="1">
      <c r="B19" s="57"/>
      <c r="C19" s="15"/>
      <c r="D19" s="15"/>
      <c r="E19" s="68"/>
      <c r="F19" s="16"/>
      <c r="G19" s="78"/>
      <c r="H19" s="78"/>
      <c r="I19" s="78"/>
      <c r="J19" s="78"/>
      <c r="K19" s="83" t="s">
        <v>90</v>
      </c>
      <c r="L19" s="84"/>
      <c r="M19" s="84"/>
      <c r="N19" s="85"/>
      <c r="O19" s="86"/>
      <c r="P19" s="17"/>
      <c r="Q19" s="87"/>
      <c r="R19" s="87"/>
      <c r="S19" s="86" t="s">
        <v>89</v>
      </c>
      <c r="T19" s="86"/>
      <c r="U19" s="18" t="s">
        <v>90</v>
      </c>
      <c r="V19" s="88"/>
      <c r="W19" s="88"/>
    </row>
    <row r="20" spans="1:24" s="20" customFormat="1" collapsed="1">
      <c r="B20" s="58" t="s">
        <v>91</v>
      </c>
      <c r="C20" s="21"/>
      <c r="D20" s="21"/>
      <c r="E20" s="69"/>
      <c r="F20" s="16"/>
      <c r="G20" s="78"/>
      <c r="H20" s="78"/>
      <c r="I20" s="78"/>
      <c r="J20" s="7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</row>
    <row r="21" spans="1:24" s="22" customFormat="1">
      <c r="B21" s="59" t="s">
        <v>92</v>
      </c>
      <c r="C21" s="23" t="s">
        <v>93</v>
      </c>
      <c r="D21" s="23" t="s">
        <v>94</v>
      </c>
      <c r="E21" s="70" t="s">
        <v>95</v>
      </c>
      <c r="F21" s="23" t="s">
        <v>94</v>
      </c>
      <c r="G21" s="23" t="s">
        <v>94</v>
      </c>
      <c r="H21" s="23" t="s">
        <v>94</v>
      </c>
      <c r="I21" s="23"/>
      <c r="J21" s="23" t="s">
        <v>94</v>
      </c>
      <c r="K21" s="23" t="s">
        <v>94</v>
      </c>
      <c r="L21" s="23" t="s">
        <v>96</v>
      </c>
      <c r="M21" s="23" t="s">
        <v>97</v>
      </c>
      <c r="N21" s="23"/>
      <c r="O21" s="23"/>
      <c r="P21" s="23" t="s">
        <v>94</v>
      </c>
      <c r="Q21" s="23"/>
      <c r="R21" s="23"/>
      <c r="S21" s="23"/>
      <c r="T21" s="23"/>
      <c r="U21" s="23"/>
      <c r="V21" s="23"/>
      <c r="W21" s="23" t="s">
        <v>98</v>
      </c>
    </row>
    <row r="22" spans="1:24" s="24" customFormat="1">
      <c r="B22" s="60" t="s">
        <v>99</v>
      </c>
      <c r="C22" s="44"/>
      <c r="D22" s="44"/>
      <c r="E22" s="71"/>
      <c r="F22" s="45"/>
      <c r="G22" s="25" t="s">
        <v>100</v>
      </c>
      <c r="H22" s="26"/>
      <c r="I22" s="26"/>
      <c r="J22" s="26"/>
      <c r="K22" s="26"/>
      <c r="L22" s="27"/>
      <c r="M22" s="27"/>
      <c r="N22" s="28"/>
      <c r="O22" s="28"/>
      <c r="P22" s="28"/>
      <c r="Q22" s="29"/>
      <c r="R22" s="29"/>
      <c r="S22" s="28"/>
      <c r="T22" s="28"/>
      <c r="U22" s="28"/>
      <c r="V22" s="28"/>
      <c r="W22" s="79"/>
      <c r="X22" s="80"/>
    </row>
    <row r="23" spans="1:24" s="24" customFormat="1">
      <c r="A23" s="81" t="s">
        <v>101</v>
      </c>
      <c r="B23" s="61" t="s">
        <v>102</v>
      </c>
      <c r="C23" s="30" t="s">
        <v>103</v>
      </c>
      <c r="D23" s="30" t="s">
        <v>104</v>
      </c>
      <c r="E23" s="72" t="s">
        <v>105</v>
      </c>
      <c r="F23" s="30" t="s">
        <v>106</v>
      </c>
      <c r="G23" s="31" t="s">
        <v>107</v>
      </c>
      <c r="H23" s="31" t="s">
        <v>108</v>
      </c>
      <c r="I23" s="32" t="s">
        <v>109</v>
      </c>
      <c r="J23" s="31" t="s">
        <v>110</v>
      </c>
      <c r="K23" s="33" t="s">
        <v>111</v>
      </c>
      <c r="L23" s="34" t="s">
        <v>112</v>
      </c>
      <c r="M23" s="35" t="s">
        <v>113</v>
      </c>
      <c r="N23" s="36" t="s">
        <v>114</v>
      </c>
      <c r="O23" s="36" t="s">
        <v>115</v>
      </c>
      <c r="P23" s="34" t="s">
        <v>116</v>
      </c>
      <c r="Q23" s="37" t="s">
        <v>117</v>
      </c>
      <c r="R23" s="37" t="s">
        <v>118</v>
      </c>
      <c r="S23" s="36" t="s">
        <v>119</v>
      </c>
      <c r="T23" s="36" t="s">
        <v>120</v>
      </c>
      <c r="U23" s="36" t="s">
        <v>121</v>
      </c>
      <c r="V23" s="36" t="s">
        <v>122</v>
      </c>
      <c r="W23" s="34" t="s">
        <v>123</v>
      </c>
      <c r="X23" s="38" t="s">
        <v>124</v>
      </c>
    </row>
    <row r="24" spans="1:24" s="24" customFormat="1">
      <c r="A24" s="82"/>
      <c r="B24" s="62">
        <v>8</v>
      </c>
      <c r="C24" s="39">
        <v>8</v>
      </c>
      <c r="D24" s="39">
        <v>16</v>
      </c>
      <c r="E24" s="62">
        <v>25</v>
      </c>
      <c r="F24" s="39">
        <v>4</v>
      </c>
      <c r="G24" s="40"/>
      <c r="H24" s="40">
        <v>2</v>
      </c>
      <c r="I24" s="41">
        <v>1</v>
      </c>
      <c r="J24" s="40">
        <v>10</v>
      </c>
      <c r="K24" s="40">
        <v>4</v>
      </c>
      <c r="L24" s="40" t="s">
        <v>125</v>
      </c>
      <c r="M24" s="40" t="s">
        <v>125</v>
      </c>
      <c r="N24" s="41">
        <v>2</v>
      </c>
      <c r="O24" s="41" t="s">
        <v>125</v>
      </c>
      <c r="P24" s="40">
        <v>10</v>
      </c>
      <c r="Q24" s="37">
        <v>12</v>
      </c>
      <c r="R24" s="37">
        <v>4</v>
      </c>
      <c r="S24" s="36">
        <v>4</v>
      </c>
      <c r="T24" s="36">
        <v>8</v>
      </c>
      <c r="U24" s="36">
        <v>18</v>
      </c>
      <c r="V24" s="36">
        <v>18</v>
      </c>
      <c r="W24" s="42">
        <v>50</v>
      </c>
      <c r="X24" s="42">
        <v>24</v>
      </c>
    </row>
    <row r="25" spans="1:24">
      <c r="B25" s="47"/>
      <c r="E25"/>
    </row>
    <row r="26" spans="1:24">
      <c r="A26" t="s">
        <v>136</v>
      </c>
      <c r="B26" s="47" t="s">
        <v>843</v>
      </c>
      <c r="C26">
        <v>15122020</v>
      </c>
      <c r="D26" t="s">
        <v>138</v>
      </c>
      <c r="E26" t="s">
        <v>708</v>
      </c>
      <c r="F26" t="s">
        <v>139</v>
      </c>
      <c r="G26">
        <v>1</v>
      </c>
      <c r="H26">
        <v>40</v>
      </c>
      <c r="J26">
        <v>17120100</v>
      </c>
      <c r="K26" t="s">
        <v>140</v>
      </c>
      <c r="L26">
        <v>297</v>
      </c>
      <c r="M26">
        <v>297</v>
      </c>
      <c r="W26" t="s">
        <v>844</v>
      </c>
    </row>
    <row r="27" spans="1:24">
      <c r="B27" s="47" t="s">
        <v>843</v>
      </c>
      <c r="C27">
        <v>15122020</v>
      </c>
      <c r="D27" t="s">
        <v>138</v>
      </c>
      <c r="E27" t="s">
        <v>708</v>
      </c>
      <c r="F27" t="s">
        <v>139</v>
      </c>
      <c r="G27">
        <v>2</v>
      </c>
      <c r="H27">
        <v>50</v>
      </c>
      <c r="J27">
        <v>56110100</v>
      </c>
      <c r="K27" t="s">
        <v>140</v>
      </c>
      <c r="L27">
        <v>297</v>
      </c>
      <c r="M27">
        <v>297</v>
      </c>
      <c r="P27">
        <v>830141404</v>
      </c>
      <c r="W27" t="s">
        <v>844</v>
      </c>
    </row>
    <row r="28" spans="1:24">
      <c r="B28" s="47"/>
      <c r="E28"/>
    </row>
    <row r="29" spans="1:24">
      <c r="A29" t="s">
        <v>192</v>
      </c>
      <c r="B29" s="47" t="s">
        <v>845</v>
      </c>
      <c r="C29">
        <v>15122020</v>
      </c>
      <c r="D29" t="s">
        <v>138</v>
      </c>
      <c r="E29" t="s">
        <v>202</v>
      </c>
      <c r="F29" t="s">
        <v>139</v>
      </c>
      <c r="G29">
        <v>1</v>
      </c>
      <c r="H29">
        <v>40</v>
      </c>
      <c r="J29">
        <v>17120100</v>
      </c>
      <c r="K29" t="s">
        <v>140</v>
      </c>
      <c r="L29">
        <v>26490</v>
      </c>
      <c r="M29">
        <v>26490</v>
      </c>
      <c r="W29" t="s">
        <v>846</v>
      </c>
    </row>
    <row r="30" spans="1:24">
      <c r="B30" s="47" t="s">
        <v>845</v>
      </c>
      <c r="C30">
        <v>15122020</v>
      </c>
      <c r="D30" t="s">
        <v>138</v>
      </c>
      <c r="E30" t="s">
        <v>202</v>
      </c>
      <c r="F30" t="s">
        <v>139</v>
      </c>
      <c r="G30">
        <v>2</v>
      </c>
      <c r="H30">
        <v>50</v>
      </c>
      <c r="J30">
        <v>56110100</v>
      </c>
      <c r="K30" t="s">
        <v>140</v>
      </c>
      <c r="L30">
        <v>26490</v>
      </c>
      <c r="M30">
        <v>26490</v>
      </c>
      <c r="P30">
        <v>830141404</v>
      </c>
      <c r="W30" t="s">
        <v>846</v>
      </c>
    </row>
    <row r="31" spans="1:24">
      <c r="B31" s="47"/>
      <c r="E31"/>
    </row>
    <row r="32" spans="1:24">
      <c r="A32" t="s">
        <v>192</v>
      </c>
      <c r="B32" s="47" t="s">
        <v>188</v>
      </c>
      <c r="C32">
        <v>15122020</v>
      </c>
      <c r="D32" t="s">
        <v>138</v>
      </c>
      <c r="E32" t="s">
        <v>210</v>
      </c>
      <c r="F32" t="s">
        <v>139</v>
      </c>
      <c r="G32">
        <v>1</v>
      </c>
      <c r="H32">
        <v>40</v>
      </c>
      <c r="J32">
        <v>17120100</v>
      </c>
      <c r="K32" t="s">
        <v>140</v>
      </c>
      <c r="L32">
        <v>1850</v>
      </c>
      <c r="M32">
        <v>1850</v>
      </c>
      <c r="W32" t="s">
        <v>846</v>
      </c>
    </row>
    <row r="33" spans="1:23">
      <c r="B33" s="47" t="s">
        <v>188</v>
      </c>
      <c r="C33">
        <v>15122020</v>
      </c>
      <c r="D33" t="s">
        <v>138</v>
      </c>
      <c r="E33" t="s">
        <v>210</v>
      </c>
      <c r="F33" t="s">
        <v>139</v>
      </c>
      <c r="G33">
        <v>2</v>
      </c>
      <c r="H33">
        <v>50</v>
      </c>
      <c r="J33">
        <v>56110100</v>
      </c>
      <c r="K33" t="s">
        <v>140</v>
      </c>
      <c r="L33">
        <v>1850</v>
      </c>
      <c r="M33">
        <v>1850</v>
      </c>
      <c r="P33">
        <v>830141404</v>
      </c>
      <c r="W33" t="s">
        <v>846</v>
      </c>
    </row>
    <row r="34" spans="1:23">
      <c r="B34" s="47"/>
      <c r="E34"/>
    </row>
    <row r="35" spans="1:23">
      <c r="A35" t="s">
        <v>192</v>
      </c>
      <c r="B35" s="47" t="s">
        <v>188</v>
      </c>
      <c r="C35">
        <v>15122020</v>
      </c>
      <c r="D35" t="s">
        <v>138</v>
      </c>
      <c r="E35" t="s">
        <v>216</v>
      </c>
      <c r="F35" t="s">
        <v>139</v>
      </c>
      <c r="G35">
        <v>1</v>
      </c>
      <c r="H35">
        <v>40</v>
      </c>
      <c r="J35">
        <v>17120100</v>
      </c>
      <c r="K35" t="s">
        <v>140</v>
      </c>
      <c r="L35">
        <v>1131</v>
      </c>
      <c r="M35">
        <v>1131</v>
      </c>
      <c r="W35" t="s">
        <v>846</v>
      </c>
    </row>
    <row r="36" spans="1:23">
      <c r="B36" s="47" t="s">
        <v>188</v>
      </c>
      <c r="C36">
        <v>15122020</v>
      </c>
      <c r="D36" t="s">
        <v>138</v>
      </c>
      <c r="E36" t="s">
        <v>216</v>
      </c>
      <c r="F36" t="s">
        <v>139</v>
      </c>
      <c r="G36">
        <v>2</v>
      </c>
      <c r="H36">
        <v>50</v>
      </c>
      <c r="J36">
        <v>56110100</v>
      </c>
      <c r="K36" t="s">
        <v>140</v>
      </c>
      <c r="L36">
        <v>1131</v>
      </c>
      <c r="M36">
        <v>1131</v>
      </c>
      <c r="P36">
        <v>830141404</v>
      </c>
      <c r="W36" t="s">
        <v>846</v>
      </c>
    </row>
    <row r="37" spans="1:23">
      <c r="B37" s="47"/>
      <c r="E37"/>
    </row>
    <row r="38" spans="1:23">
      <c r="A38" t="s">
        <v>192</v>
      </c>
      <c r="B38" s="47" t="s">
        <v>188</v>
      </c>
      <c r="C38">
        <v>15122020</v>
      </c>
      <c r="D38" t="s">
        <v>138</v>
      </c>
      <c r="E38" t="s">
        <v>221</v>
      </c>
      <c r="F38" t="s">
        <v>139</v>
      </c>
      <c r="G38">
        <v>1</v>
      </c>
      <c r="H38">
        <v>40</v>
      </c>
      <c r="J38">
        <v>17120100</v>
      </c>
      <c r="K38" t="s">
        <v>140</v>
      </c>
      <c r="L38">
        <v>1131</v>
      </c>
      <c r="M38">
        <v>1131</v>
      </c>
      <c r="W38" t="s">
        <v>846</v>
      </c>
    </row>
    <row r="39" spans="1:23">
      <c r="B39" s="47" t="s">
        <v>188</v>
      </c>
      <c r="C39">
        <v>15122020</v>
      </c>
      <c r="D39" t="s">
        <v>138</v>
      </c>
      <c r="E39" t="s">
        <v>221</v>
      </c>
      <c r="F39" t="s">
        <v>139</v>
      </c>
      <c r="G39">
        <v>2</v>
      </c>
      <c r="H39">
        <v>50</v>
      </c>
      <c r="J39">
        <v>56110100</v>
      </c>
      <c r="K39" t="s">
        <v>140</v>
      </c>
      <c r="L39">
        <v>1131</v>
      </c>
      <c r="M39">
        <v>1131</v>
      </c>
      <c r="P39">
        <v>830141404</v>
      </c>
      <c r="W39" t="s">
        <v>846</v>
      </c>
    </row>
    <row r="40" spans="1:23">
      <c r="B40" s="47"/>
      <c r="E40"/>
    </row>
    <row r="41" spans="1:23">
      <c r="A41" t="s">
        <v>192</v>
      </c>
      <c r="B41" s="47" t="s">
        <v>847</v>
      </c>
      <c r="C41">
        <v>15122020</v>
      </c>
      <c r="D41" t="s">
        <v>138</v>
      </c>
      <c r="E41" t="s">
        <v>226</v>
      </c>
      <c r="F41" t="s">
        <v>139</v>
      </c>
      <c r="G41">
        <v>1</v>
      </c>
      <c r="H41">
        <v>40</v>
      </c>
      <c r="J41">
        <v>17120100</v>
      </c>
      <c r="K41" t="s">
        <v>140</v>
      </c>
      <c r="L41">
        <v>26490</v>
      </c>
      <c r="M41">
        <v>26490</v>
      </c>
      <c r="W41" t="s">
        <v>846</v>
      </c>
    </row>
    <row r="42" spans="1:23">
      <c r="B42" s="47" t="s">
        <v>847</v>
      </c>
      <c r="C42">
        <v>15122020</v>
      </c>
      <c r="D42" t="s">
        <v>138</v>
      </c>
      <c r="E42" t="s">
        <v>226</v>
      </c>
      <c r="F42" t="s">
        <v>139</v>
      </c>
      <c r="G42">
        <v>2</v>
      </c>
      <c r="H42">
        <v>50</v>
      </c>
      <c r="J42">
        <v>56110100</v>
      </c>
      <c r="K42" t="s">
        <v>140</v>
      </c>
      <c r="L42">
        <v>26490</v>
      </c>
      <c r="M42">
        <v>26490</v>
      </c>
      <c r="P42">
        <v>830141404</v>
      </c>
      <c r="W42" t="s">
        <v>846</v>
      </c>
    </row>
    <row r="43" spans="1:23">
      <c r="B43" s="47"/>
      <c r="E43"/>
    </row>
    <row r="44" spans="1:23">
      <c r="A44" t="s">
        <v>192</v>
      </c>
      <c r="B44" s="47" t="s">
        <v>848</v>
      </c>
      <c r="C44">
        <v>15122020</v>
      </c>
      <c r="D44" t="s">
        <v>138</v>
      </c>
      <c r="E44" t="s">
        <v>232</v>
      </c>
      <c r="F44" t="s">
        <v>139</v>
      </c>
      <c r="G44">
        <v>1</v>
      </c>
      <c r="H44">
        <v>40</v>
      </c>
      <c r="J44">
        <v>17120100</v>
      </c>
      <c r="K44" t="s">
        <v>140</v>
      </c>
      <c r="L44">
        <v>15612</v>
      </c>
      <c r="M44">
        <v>15612</v>
      </c>
      <c r="W44" t="s">
        <v>846</v>
      </c>
    </row>
    <row r="45" spans="1:23">
      <c r="B45" s="47" t="s">
        <v>848</v>
      </c>
      <c r="C45">
        <v>15122020</v>
      </c>
      <c r="D45" t="s">
        <v>138</v>
      </c>
      <c r="E45" t="s">
        <v>232</v>
      </c>
      <c r="F45" t="s">
        <v>139</v>
      </c>
      <c r="G45">
        <v>2</v>
      </c>
      <c r="H45">
        <v>50</v>
      </c>
      <c r="J45">
        <v>56110100</v>
      </c>
      <c r="K45" t="s">
        <v>140</v>
      </c>
      <c r="L45">
        <v>15612</v>
      </c>
      <c r="M45">
        <v>15612</v>
      </c>
      <c r="P45">
        <v>830141404</v>
      </c>
      <c r="W45" t="s">
        <v>846</v>
      </c>
    </row>
    <row r="46" spans="1:23">
      <c r="B46" s="47"/>
      <c r="E46"/>
    </row>
    <row r="47" spans="1:23">
      <c r="A47" t="s">
        <v>192</v>
      </c>
      <c r="B47" s="47" t="s">
        <v>848</v>
      </c>
      <c r="C47">
        <v>15122020</v>
      </c>
      <c r="D47" t="s">
        <v>138</v>
      </c>
      <c r="E47" t="s">
        <v>238</v>
      </c>
      <c r="F47" t="s">
        <v>139</v>
      </c>
      <c r="G47">
        <v>1</v>
      </c>
      <c r="H47">
        <v>40</v>
      </c>
      <c r="J47">
        <v>17120100</v>
      </c>
      <c r="K47" t="s">
        <v>140</v>
      </c>
      <c r="L47">
        <v>15612</v>
      </c>
      <c r="M47">
        <v>15612</v>
      </c>
      <c r="W47" t="s">
        <v>846</v>
      </c>
    </row>
    <row r="48" spans="1:23">
      <c r="B48" s="47" t="s">
        <v>848</v>
      </c>
      <c r="C48">
        <v>15122020</v>
      </c>
      <c r="D48" t="s">
        <v>138</v>
      </c>
      <c r="E48" t="s">
        <v>238</v>
      </c>
      <c r="F48" t="s">
        <v>139</v>
      </c>
      <c r="G48">
        <v>2</v>
      </c>
      <c r="H48">
        <v>50</v>
      </c>
      <c r="J48">
        <v>56110100</v>
      </c>
      <c r="K48" t="s">
        <v>140</v>
      </c>
      <c r="L48">
        <v>15612</v>
      </c>
      <c r="M48">
        <v>15612</v>
      </c>
      <c r="P48">
        <v>830141404</v>
      </c>
      <c r="W48" t="s">
        <v>846</v>
      </c>
    </row>
    <row r="49" spans="1:23">
      <c r="B49" s="47"/>
      <c r="E49"/>
    </row>
    <row r="50" spans="1:23">
      <c r="A50" t="s">
        <v>192</v>
      </c>
      <c r="B50" s="47" t="s">
        <v>849</v>
      </c>
      <c r="C50">
        <v>15122020</v>
      </c>
      <c r="D50" t="s">
        <v>138</v>
      </c>
      <c r="E50" t="s">
        <v>243</v>
      </c>
      <c r="F50" t="s">
        <v>139</v>
      </c>
      <c r="G50">
        <v>1</v>
      </c>
      <c r="H50">
        <v>40</v>
      </c>
      <c r="J50">
        <v>17120100</v>
      </c>
      <c r="K50" t="s">
        <v>140</v>
      </c>
      <c r="L50">
        <v>13044</v>
      </c>
      <c r="M50">
        <v>13044</v>
      </c>
      <c r="W50" t="s">
        <v>846</v>
      </c>
    </row>
    <row r="51" spans="1:23">
      <c r="B51" s="47" t="s">
        <v>849</v>
      </c>
      <c r="C51">
        <v>15122020</v>
      </c>
      <c r="D51" t="s">
        <v>138</v>
      </c>
      <c r="E51" t="s">
        <v>243</v>
      </c>
      <c r="F51" t="s">
        <v>139</v>
      </c>
      <c r="G51">
        <v>2</v>
      </c>
      <c r="H51">
        <v>50</v>
      </c>
      <c r="J51">
        <v>56110100</v>
      </c>
      <c r="K51" t="s">
        <v>140</v>
      </c>
      <c r="L51">
        <v>13044</v>
      </c>
      <c r="M51">
        <v>13044</v>
      </c>
      <c r="P51">
        <v>830141404</v>
      </c>
      <c r="W51" t="s">
        <v>846</v>
      </c>
    </row>
    <row r="52" spans="1:23">
      <c r="B52" s="47"/>
      <c r="E52"/>
    </row>
    <row r="53" spans="1:23">
      <c r="A53" t="s">
        <v>192</v>
      </c>
      <c r="B53" s="47" t="s">
        <v>850</v>
      </c>
      <c r="C53">
        <v>15122020</v>
      </c>
      <c r="D53" t="s">
        <v>138</v>
      </c>
      <c r="E53" t="s">
        <v>250</v>
      </c>
      <c r="F53" t="s">
        <v>139</v>
      </c>
      <c r="G53">
        <v>1</v>
      </c>
      <c r="H53">
        <v>40</v>
      </c>
      <c r="J53">
        <v>17120100</v>
      </c>
      <c r="K53" t="s">
        <v>140</v>
      </c>
      <c r="L53">
        <v>105</v>
      </c>
      <c r="M53">
        <v>105</v>
      </c>
      <c r="W53" t="s">
        <v>851</v>
      </c>
    </row>
    <row r="54" spans="1:23">
      <c r="B54" s="47" t="s">
        <v>850</v>
      </c>
      <c r="C54">
        <v>15122020</v>
      </c>
      <c r="D54" t="s">
        <v>138</v>
      </c>
      <c r="E54" t="s">
        <v>250</v>
      </c>
      <c r="F54" t="s">
        <v>139</v>
      </c>
      <c r="G54">
        <v>2</v>
      </c>
      <c r="H54">
        <v>50</v>
      </c>
      <c r="J54">
        <v>56110100</v>
      </c>
      <c r="K54" t="s">
        <v>140</v>
      </c>
      <c r="L54">
        <v>105</v>
      </c>
      <c r="M54">
        <v>105</v>
      </c>
      <c r="P54">
        <v>830141404</v>
      </c>
      <c r="W54" t="s">
        <v>851</v>
      </c>
    </row>
    <row r="55" spans="1:23">
      <c r="B55" s="47"/>
      <c r="E55"/>
    </row>
    <row r="56" spans="1:23">
      <c r="A56" t="s">
        <v>192</v>
      </c>
      <c r="B56" s="47" t="s">
        <v>850</v>
      </c>
      <c r="C56">
        <v>15122020</v>
      </c>
      <c r="D56" t="s">
        <v>138</v>
      </c>
      <c r="E56" t="s">
        <v>259</v>
      </c>
      <c r="F56" t="s">
        <v>139</v>
      </c>
      <c r="G56">
        <v>1</v>
      </c>
      <c r="H56">
        <v>40</v>
      </c>
      <c r="J56">
        <v>17120102</v>
      </c>
      <c r="K56" t="s">
        <v>140</v>
      </c>
      <c r="L56">
        <v>34</v>
      </c>
      <c r="M56">
        <v>34</v>
      </c>
      <c r="W56" t="s">
        <v>851</v>
      </c>
    </row>
    <row r="57" spans="1:23">
      <c r="B57" s="47" t="s">
        <v>850</v>
      </c>
      <c r="C57">
        <v>15122020</v>
      </c>
      <c r="D57" t="s">
        <v>138</v>
      </c>
      <c r="E57" t="s">
        <v>259</v>
      </c>
      <c r="F57" t="s">
        <v>139</v>
      </c>
      <c r="G57">
        <v>2</v>
      </c>
      <c r="H57">
        <v>40</v>
      </c>
      <c r="J57">
        <v>17120103</v>
      </c>
      <c r="K57" t="s">
        <v>140</v>
      </c>
      <c r="L57">
        <v>34</v>
      </c>
      <c r="M57">
        <v>34</v>
      </c>
      <c r="W57" t="s">
        <v>851</v>
      </c>
    </row>
    <row r="58" spans="1:23">
      <c r="B58" s="47" t="s">
        <v>850</v>
      </c>
      <c r="C58">
        <v>15122020</v>
      </c>
      <c r="D58" t="s">
        <v>138</v>
      </c>
      <c r="E58" t="s">
        <v>259</v>
      </c>
      <c r="F58" t="s">
        <v>139</v>
      </c>
      <c r="G58">
        <v>3</v>
      </c>
      <c r="H58">
        <v>50</v>
      </c>
      <c r="J58">
        <v>56110100</v>
      </c>
      <c r="K58" t="s">
        <v>140</v>
      </c>
      <c r="L58">
        <v>68</v>
      </c>
      <c r="M58">
        <v>68</v>
      </c>
      <c r="P58">
        <v>830141404</v>
      </c>
      <c r="W58" t="s">
        <v>851</v>
      </c>
    </row>
    <row r="59" spans="1:23">
      <c r="B59" s="47"/>
      <c r="E59"/>
    </row>
    <row r="60" spans="1:23">
      <c r="A60" t="s">
        <v>192</v>
      </c>
      <c r="B60" s="47" t="s">
        <v>852</v>
      </c>
      <c r="C60">
        <v>15122020</v>
      </c>
      <c r="D60" t="s">
        <v>138</v>
      </c>
      <c r="E60" t="s">
        <v>263</v>
      </c>
      <c r="F60" t="s">
        <v>139</v>
      </c>
      <c r="G60">
        <v>1</v>
      </c>
      <c r="H60">
        <v>40</v>
      </c>
      <c r="J60">
        <v>17120102</v>
      </c>
      <c r="K60" t="s">
        <v>140</v>
      </c>
      <c r="L60">
        <v>52</v>
      </c>
      <c r="M60">
        <v>52</v>
      </c>
      <c r="W60" t="s">
        <v>851</v>
      </c>
    </row>
    <row r="61" spans="1:23">
      <c r="B61" s="47" t="s">
        <v>852</v>
      </c>
      <c r="C61">
        <v>15122020</v>
      </c>
      <c r="D61" t="s">
        <v>138</v>
      </c>
      <c r="E61" t="s">
        <v>263</v>
      </c>
      <c r="F61" t="s">
        <v>139</v>
      </c>
      <c r="G61">
        <v>2</v>
      </c>
      <c r="H61">
        <v>40</v>
      </c>
      <c r="J61">
        <v>17120103</v>
      </c>
      <c r="K61" t="s">
        <v>140</v>
      </c>
      <c r="L61">
        <v>52</v>
      </c>
      <c r="M61">
        <v>52</v>
      </c>
      <c r="W61" t="s">
        <v>851</v>
      </c>
    </row>
    <row r="62" spans="1:23">
      <c r="B62" s="47" t="s">
        <v>852</v>
      </c>
      <c r="C62">
        <v>15122020</v>
      </c>
      <c r="D62" t="s">
        <v>138</v>
      </c>
      <c r="E62" t="s">
        <v>263</v>
      </c>
      <c r="F62" t="s">
        <v>139</v>
      </c>
      <c r="G62">
        <v>3</v>
      </c>
      <c r="H62">
        <v>50</v>
      </c>
      <c r="J62">
        <v>56110100</v>
      </c>
      <c r="K62" t="s">
        <v>140</v>
      </c>
      <c r="L62">
        <v>104</v>
      </c>
      <c r="M62">
        <v>104</v>
      </c>
      <c r="P62">
        <v>830141404</v>
      </c>
      <c r="W62" t="s">
        <v>851</v>
      </c>
    </row>
    <row r="63" spans="1:23">
      <c r="B63" s="47"/>
      <c r="E63"/>
    </row>
    <row r="64" spans="1:23">
      <c r="A64" t="s">
        <v>192</v>
      </c>
      <c r="B64" s="47" t="s">
        <v>853</v>
      </c>
      <c r="C64">
        <v>15122020</v>
      </c>
      <c r="D64" t="s">
        <v>138</v>
      </c>
      <c r="E64" t="s">
        <v>269</v>
      </c>
      <c r="F64" t="s">
        <v>139</v>
      </c>
      <c r="G64">
        <v>1</v>
      </c>
      <c r="H64">
        <v>40</v>
      </c>
      <c r="J64">
        <v>17120102</v>
      </c>
      <c r="K64" t="s">
        <v>140</v>
      </c>
      <c r="L64">
        <v>37</v>
      </c>
      <c r="M64">
        <v>37</v>
      </c>
      <c r="W64" t="s">
        <v>851</v>
      </c>
    </row>
    <row r="65" spans="1:23">
      <c r="B65" s="47" t="s">
        <v>853</v>
      </c>
      <c r="C65">
        <v>15122020</v>
      </c>
      <c r="D65" t="s">
        <v>138</v>
      </c>
      <c r="E65" t="s">
        <v>269</v>
      </c>
      <c r="F65" t="s">
        <v>139</v>
      </c>
      <c r="G65">
        <v>2</v>
      </c>
      <c r="H65">
        <v>40</v>
      </c>
      <c r="J65">
        <v>17120103</v>
      </c>
      <c r="K65" t="s">
        <v>140</v>
      </c>
      <c r="L65">
        <v>37</v>
      </c>
      <c r="M65">
        <v>37</v>
      </c>
      <c r="W65" t="s">
        <v>851</v>
      </c>
    </row>
    <row r="66" spans="1:23">
      <c r="B66" s="47" t="s">
        <v>853</v>
      </c>
      <c r="C66">
        <v>15122020</v>
      </c>
      <c r="D66" t="s">
        <v>138</v>
      </c>
      <c r="E66" t="s">
        <v>269</v>
      </c>
      <c r="F66" t="s">
        <v>139</v>
      </c>
      <c r="G66">
        <v>3</v>
      </c>
      <c r="H66">
        <v>50</v>
      </c>
      <c r="J66">
        <v>56110100</v>
      </c>
      <c r="K66" t="s">
        <v>140</v>
      </c>
      <c r="L66">
        <v>74</v>
      </c>
      <c r="M66">
        <v>74</v>
      </c>
      <c r="P66">
        <v>830141404</v>
      </c>
      <c r="W66" t="s">
        <v>851</v>
      </c>
    </row>
    <row r="67" spans="1:23">
      <c r="B67" s="47"/>
      <c r="E67"/>
    </row>
    <row r="68" spans="1:23">
      <c r="A68" t="s">
        <v>192</v>
      </c>
      <c r="B68" s="47" t="s">
        <v>854</v>
      </c>
      <c r="C68">
        <v>15122020</v>
      </c>
      <c r="D68" t="s">
        <v>138</v>
      </c>
      <c r="E68" t="s">
        <v>275</v>
      </c>
      <c r="F68" t="s">
        <v>139</v>
      </c>
      <c r="G68">
        <v>1</v>
      </c>
      <c r="H68">
        <v>40</v>
      </c>
      <c r="J68">
        <v>17120100</v>
      </c>
      <c r="K68" t="s">
        <v>140</v>
      </c>
      <c r="L68">
        <v>85</v>
      </c>
      <c r="M68">
        <v>85</v>
      </c>
      <c r="W68" t="s">
        <v>851</v>
      </c>
    </row>
    <row r="69" spans="1:23">
      <c r="B69" s="47" t="s">
        <v>854</v>
      </c>
      <c r="C69">
        <v>15122020</v>
      </c>
      <c r="D69" t="s">
        <v>138</v>
      </c>
      <c r="E69" t="s">
        <v>275</v>
      </c>
      <c r="F69" t="s">
        <v>139</v>
      </c>
      <c r="G69">
        <v>2</v>
      </c>
      <c r="H69">
        <v>50</v>
      </c>
      <c r="J69">
        <v>56110100</v>
      </c>
      <c r="K69" t="s">
        <v>140</v>
      </c>
      <c r="L69">
        <v>85</v>
      </c>
      <c r="M69">
        <v>85</v>
      </c>
      <c r="P69">
        <v>830141404</v>
      </c>
      <c r="W69" t="s">
        <v>851</v>
      </c>
    </row>
    <row r="70" spans="1:23">
      <c r="B70" s="47"/>
      <c r="E70"/>
    </row>
    <row r="71" spans="1:23">
      <c r="A71" t="s">
        <v>192</v>
      </c>
      <c r="B71" s="47" t="s">
        <v>848</v>
      </c>
      <c r="C71">
        <v>15122020</v>
      </c>
      <c r="D71" t="s">
        <v>138</v>
      </c>
      <c r="E71" t="s">
        <v>281</v>
      </c>
      <c r="F71" t="s">
        <v>139</v>
      </c>
      <c r="G71">
        <v>1</v>
      </c>
      <c r="H71">
        <v>40</v>
      </c>
      <c r="J71">
        <v>17120100</v>
      </c>
      <c r="K71" t="s">
        <v>140</v>
      </c>
      <c r="L71">
        <v>78</v>
      </c>
      <c r="M71">
        <v>78</v>
      </c>
      <c r="W71" t="s">
        <v>851</v>
      </c>
    </row>
    <row r="72" spans="1:23">
      <c r="B72" s="47" t="s">
        <v>848</v>
      </c>
      <c r="C72">
        <v>15122020</v>
      </c>
      <c r="D72" t="s">
        <v>138</v>
      </c>
      <c r="E72" t="s">
        <v>281</v>
      </c>
      <c r="F72" t="s">
        <v>139</v>
      </c>
      <c r="G72">
        <v>2</v>
      </c>
      <c r="H72">
        <v>50</v>
      </c>
      <c r="J72">
        <v>56110100</v>
      </c>
      <c r="K72" t="s">
        <v>140</v>
      </c>
      <c r="L72">
        <v>78</v>
      </c>
      <c r="M72">
        <v>78</v>
      </c>
      <c r="P72">
        <v>830141404</v>
      </c>
      <c r="W72" t="s">
        <v>851</v>
      </c>
    </row>
    <row r="73" spans="1:23">
      <c r="B73" s="47"/>
      <c r="E73"/>
    </row>
    <row r="74" spans="1:23">
      <c r="A74" t="s">
        <v>192</v>
      </c>
      <c r="B74" s="47" t="s">
        <v>852</v>
      </c>
      <c r="C74">
        <v>15122020</v>
      </c>
      <c r="D74" t="s">
        <v>138</v>
      </c>
      <c r="E74" t="s">
        <v>286</v>
      </c>
      <c r="F74" t="s">
        <v>139</v>
      </c>
      <c r="G74">
        <v>1</v>
      </c>
      <c r="H74">
        <v>40</v>
      </c>
      <c r="J74">
        <v>17120102</v>
      </c>
      <c r="K74" t="s">
        <v>140</v>
      </c>
      <c r="L74">
        <v>47</v>
      </c>
      <c r="M74">
        <v>47</v>
      </c>
      <c r="W74" t="s">
        <v>851</v>
      </c>
    </row>
    <row r="75" spans="1:23">
      <c r="B75" s="47" t="s">
        <v>852</v>
      </c>
      <c r="C75">
        <v>15122020</v>
      </c>
      <c r="D75" t="s">
        <v>138</v>
      </c>
      <c r="E75" t="s">
        <v>286</v>
      </c>
      <c r="F75" t="s">
        <v>139</v>
      </c>
      <c r="G75">
        <v>2</v>
      </c>
      <c r="H75">
        <v>40</v>
      </c>
      <c r="J75">
        <v>17120103</v>
      </c>
      <c r="K75" t="s">
        <v>140</v>
      </c>
      <c r="L75">
        <v>47</v>
      </c>
      <c r="M75">
        <v>47</v>
      </c>
      <c r="W75" t="s">
        <v>851</v>
      </c>
    </row>
    <row r="76" spans="1:23">
      <c r="B76" s="47" t="s">
        <v>852</v>
      </c>
      <c r="C76">
        <v>15122020</v>
      </c>
      <c r="D76" t="s">
        <v>138</v>
      </c>
      <c r="E76" t="s">
        <v>286</v>
      </c>
      <c r="F76" t="s">
        <v>139</v>
      </c>
      <c r="G76">
        <v>3</v>
      </c>
      <c r="H76">
        <v>50</v>
      </c>
      <c r="J76">
        <v>56110100</v>
      </c>
      <c r="K76" t="s">
        <v>140</v>
      </c>
      <c r="L76">
        <v>94</v>
      </c>
      <c r="M76">
        <v>94</v>
      </c>
      <c r="P76">
        <v>830141404</v>
      </c>
      <c r="W76" t="s">
        <v>851</v>
      </c>
    </row>
    <row r="77" spans="1:23">
      <c r="B77" s="47"/>
      <c r="E77"/>
    </row>
    <row r="78" spans="1:23">
      <c r="A78" t="s">
        <v>192</v>
      </c>
      <c r="B78" s="47" t="s">
        <v>855</v>
      </c>
      <c r="C78">
        <v>15122020</v>
      </c>
      <c r="D78" t="s">
        <v>138</v>
      </c>
      <c r="E78" t="s">
        <v>290</v>
      </c>
      <c r="F78" t="s">
        <v>139</v>
      </c>
      <c r="G78">
        <v>1</v>
      </c>
      <c r="H78">
        <v>40</v>
      </c>
      <c r="J78">
        <v>17120102</v>
      </c>
      <c r="K78" t="s">
        <v>140</v>
      </c>
      <c r="L78">
        <v>35</v>
      </c>
      <c r="M78">
        <v>35</v>
      </c>
      <c r="W78" t="s">
        <v>851</v>
      </c>
    </row>
    <row r="79" spans="1:23">
      <c r="B79" s="47" t="s">
        <v>855</v>
      </c>
      <c r="C79">
        <v>15122020</v>
      </c>
      <c r="D79" t="s">
        <v>138</v>
      </c>
      <c r="E79" t="s">
        <v>290</v>
      </c>
      <c r="F79" t="s">
        <v>139</v>
      </c>
      <c r="G79">
        <v>2</v>
      </c>
      <c r="H79">
        <v>40</v>
      </c>
      <c r="J79">
        <v>17120103</v>
      </c>
      <c r="K79" t="s">
        <v>140</v>
      </c>
      <c r="L79">
        <v>35</v>
      </c>
      <c r="M79">
        <v>35</v>
      </c>
      <c r="W79" t="s">
        <v>851</v>
      </c>
    </row>
    <row r="80" spans="1:23">
      <c r="B80" s="47" t="s">
        <v>855</v>
      </c>
      <c r="C80">
        <v>15122020</v>
      </c>
      <c r="D80" t="s">
        <v>138</v>
      </c>
      <c r="E80" t="s">
        <v>290</v>
      </c>
      <c r="F80" t="s">
        <v>139</v>
      </c>
      <c r="G80">
        <v>3</v>
      </c>
      <c r="H80">
        <v>50</v>
      </c>
      <c r="J80">
        <v>56110100</v>
      </c>
      <c r="K80" t="s">
        <v>140</v>
      </c>
      <c r="L80">
        <v>70</v>
      </c>
      <c r="M80">
        <v>70</v>
      </c>
      <c r="P80">
        <v>830141404</v>
      </c>
      <c r="W80" t="s">
        <v>851</v>
      </c>
    </row>
    <row r="81" spans="1:23">
      <c r="B81" s="47"/>
      <c r="E81"/>
    </row>
    <row r="82" spans="1:23">
      <c r="A82" t="s">
        <v>192</v>
      </c>
      <c r="B82" s="47" t="s">
        <v>848</v>
      </c>
      <c r="C82">
        <v>15122020</v>
      </c>
      <c r="D82" t="s">
        <v>138</v>
      </c>
      <c r="E82" t="s">
        <v>296</v>
      </c>
      <c r="F82" t="s">
        <v>139</v>
      </c>
      <c r="G82">
        <v>1</v>
      </c>
      <c r="H82">
        <v>40</v>
      </c>
      <c r="J82">
        <v>17120102</v>
      </c>
      <c r="K82" t="s">
        <v>140</v>
      </c>
      <c r="L82">
        <v>34</v>
      </c>
      <c r="M82">
        <v>34</v>
      </c>
      <c r="W82" t="s">
        <v>851</v>
      </c>
    </row>
    <row r="83" spans="1:23">
      <c r="B83" s="47" t="s">
        <v>848</v>
      </c>
      <c r="C83">
        <v>15122020</v>
      </c>
      <c r="D83" t="s">
        <v>138</v>
      </c>
      <c r="E83" t="s">
        <v>296</v>
      </c>
      <c r="F83" t="s">
        <v>139</v>
      </c>
      <c r="G83">
        <v>2</v>
      </c>
      <c r="H83">
        <v>40</v>
      </c>
      <c r="J83">
        <v>17120103</v>
      </c>
      <c r="K83" t="s">
        <v>140</v>
      </c>
      <c r="L83">
        <v>34</v>
      </c>
      <c r="M83">
        <v>34</v>
      </c>
      <c r="W83" t="s">
        <v>851</v>
      </c>
    </row>
    <row r="84" spans="1:23">
      <c r="B84" s="47" t="s">
        <v>848</v>
      </c>
      <c r="C84">
        <v>15122020</v>
      </c>
      <c r="D84" t="s">
        <v>138</v>
      </c>
      <c r="E84" t="s">
        <v>296</v>
      </c>
      <c r="F84" t="s">
        <v>139</v>
      </c>
      <c r="G84">
        <v>3</v>
      </c>
      <c r="H84">
        <v>50</v>
      </c>
      <c r="J84">
        <v>56110100</v>
      </c>
      <c r="K84" t="s">
        <v>140</v>
      </c>
      <c r="L84">
        <v>68</v>
      </c>
      <c r="M84">
        <v>68</v>
      </c>
      <c r="P84">
        <v>830141404</v>
      </c>
      <c r="W84" t="s">
        <v>851</v>
      </c>
    </row>
    <row r="85" spans="1:23">
      <c r="B85" s="47"/>
      <c r="E85"/>
    </row>
    <row r="86" spans="1:23">
      <c r="A86" t="s">
        <v>192</v>
      </c>
      <c r="B86" s="47" t="s">
        <v>853</v>
      </c>
      <c r="C86">
        <v>15122020</v>
      </c>
      <c r="D86" t="s">
        <v>138</v>
      </c>
      <c r="E86" t="s">
        <v>300</v>
      </c>
      <c r="F86" t="s">
        <v>139</v>
      </c>
      <c r="G86">
        <v>1</v>
      </c>
      <c r="H86">
        <v>40</v>
      </c>
      <c r="J86">
        <v>17120100</v>
      </c>
      <c r="K86" t="s">
        <v>140</v>
      </c>
      <c r="L86">
        <v>75</v>
      </c>
      <c r="M86">
        <v>75</v>
      </c>
      <c r="W86" t="s">
        <v>851</v>
      </c>
    </row>
    <row r="87" spans="1:23">
      <c r="B87" s="47" t="s">
        <v>853</v>
      </c>
      <c r="C87">
        <v>15122020</v>
      </c>
      <c r="D87" t="s">
        <v>138</v>
      </c>
      <c r="E87" t="s">
        <v>300</v>
      </c>
      <c r="F87" t="s">
        <v>139</v>
      </c>
      <c r="G87">
        <v>2</v>
      </c>
      <c r="H87">
        <v>50</v>
      </c>
      <c r="J87">
        <v>56110100</v>
      </c>
      <c r="K87" t="s">
        <v>140</v>
      </c>
      <c r="L87">
        <v>75</v>
      </c>
      <c r="M87">
        <v>75</v>
      </c>
      <c r="P87">
        <v>830141404</v>
      </c>
      <c r="W87" t="s">
        <v>851</v>
      </c>
    </row>
    <row r="88" spans="1:23">
      <c r="B88" s="47"/>
      <c r="E88"/>
    </row>
    <row r="89" spans="1:23">
      <c r="A89" t="s">
        <v>192</v>
      </c>
      <c r="B89" s="47" t="s">
        <v>856</v>
      </c>
      <c r="C89">
        <v>15122020</v>
      </c>
      <c r="D89" t="s">
        <v>138</v>
      </c>
      <c r="E89" t="s">
        <v>305</v>
      </c>
      <c r="F89" t="s">
        <v>139</v>
      </c>
      <c r="G89">
        <v>1</v>
      </c>
      <c r="H89">
        <v>40</v>
      </c>
      <c r="J89">
        <v>17120102</v>
      </c>
      <c r="K89" t="s">
        <v>140</v>
      </c>
      <c r="L89">
        <v>37</v>
      </c>
      <c r="M89">
        <v>37</v>
      </c>
      <c r="W89" t="s">
        <v>851</v>
      </c>
    </row>
    <row r="90" spans="1:23">
      <c r="B90" s="47" t="s">
        <v>856</v>
      </c>
      <c r="C90">
        <v>15122020</v>
      </c>
      <c r="D90" t="s">
        <v>138</v>
      </c>
      <c r="E90" t="s">
        <v>305</v>
      </c>
      <c r="F90" t="s">
        <v>139</v>
      </c>
      <c r="G90">
        <v>2</v>
      </c>
      <c r="H90">
        <v>40</v>
      </c>
      <c r="J90">
        <v>17120103</v>
      </c>
      <c r="K90" t="s">
        <v>140</v>
      </c>
      <c r="L90">
        <v>37</v>
      </c>
      <c r="M90">
        <v>37</v>
      </c>
      <c r="W90" t="s">
        <v>851</v>
      </c>
    </row>
    <row r="91" spans="1:23">
      <c r="B91" s="47" t="s">
        <v>856</v>
      </c>
      <c r="C91">
        <v>15122020</v>
      </c>
      <c r="D91" t="s">
        <v>138</v>
      </c>
      <c r="E91" t="s">
        <v>305</v>
      </c>
      <c r="F91" t="s">
        <v>139</v>
      </c>
      <c r="G91">
        <v>3</v>
      </c>
      <c r="H91">
        <v>50</v>
      </c>
      <c r="J91">
        <v>56110100</v>
      </c>
      <c r="K91" t="s">
        <v>140</v>
      </c>
      <c r="L91">
        <v>74</v>
      </c>
      <c r="M91">
        <v>74</v>
      </c>
      <c r="P91">
        <v>830141404</v>
      </c>
      <c r="W91" t="s">
        <v>851</v>
      </c>
    </row>
    <row r="92" spans="1:23">
      <c r="B92" s="47"/>
      <c r="E92"/>
    </row>
    <row r="93" spans="1:23">
      <c r="A93" t="s">
        <v>192</v>
      </c>
      <c r="B93" s="47" t="s">
        <v>857</v>
      </c>
      <c r="C93">
        <v>15122020</v>
      </c>
      <c r="D93" t="s">
        <v>138</v>
      </c>
      <c r="E93" t="s">
        <v>311</v>
      </c>
      <c r="F93" t="s">
        <v>139</v>
      </c>
      <c r="G93">
        <v>1</v>
      </c>
      <c r="H93">
        <v>40</v>
      </c>
      <c r="J93">
        <v>17120102</v>
      </c>
      <c r="K93" t="s">
        <v>140</v>
      </c>
      <c r="L93">
        <v>34</v>
      </c>
      <c r="M93">
        <v>34</v>
      </c>
      <c r="W93" t="s">
        <v>851</v>
      </c>
    </row>
    <row r="94" spans="1:23">
      <c r="B94" s="47" t="s">
        <v>857</v>
      </c>
      <c r="C94">
        <v>15122020</v>
      </c>
      <c r="D94" t="s">
        <v>138</v>
      </c>
      <c r="E94" t="s">
        <v>311</v>
      </c>
      <c r="F94" t="s">
        <v>139</v>
      </c>
      <c r="G94">
        <v>2</v>
      </c>
      <c r="H94">
        <v>40</v>
      </c>
      <c r="J94">
        <v>17120103</v>
      </c>
      <c r="K94" t="s">
        <v>140</v>
      </c>
      <c r="L94">
        <v>34</v>
      </c>
      <c r="M94">
        <v>34</v>
      </c>
      <c r="W94" t="s">
        <v>851</v>
      </c>
    </row>
    <row r="95" spans="1:23">
      <c r="B95" s="47" t="s">
        <v>857</v>
      </c>
      <c r="C95">
        <v>15122020</v>
      </c>
      <c r="D95" t="s">
        <v>138</v>
      </c>
      <c r="E95" t="s">
        <v>311</v>
      </c>
      <c r="F95" t="s">
        <v>139</v>
      </c>
      <c r="G95">
        <v>3</v>
      </c>
      <c r="H95">
        <v>50</v>
      </c>
      <c r="J95">
        <v>56110100</v>
      </c>
      <c r="K95" t="s">
        <v>140</v>
      </c>
      <c r="L95">
        <v>68</v>
      </c>
      <c r="M95">
        <v>68</v>
      </c>
      <c r="P95">
        <v>830141404</v>
      </c>
      <c r="W95" t="s">
        <v>851</v>
      </c>
    </row>
    <row r="96" spans="1:23">
      <c r="B96" s="47"/>
      <c r="E96"/>
    </row>
    <row r="97" spans="1:23">
      <c r="A97" t="s">
        <v>192</v>
      </c>
      <c r="B97" s="47" t="s">
        <v>858</v>
      </c>
      <c r="C97">
        <v>15122020</v>
      </c>
      <c r="D97" t="s">
        <v>138</v>
      </c>
      <c r="E97" t="s">
        <v>317</v>
      </c>
      <c r="F97" t="s">
        <v>139</v>
      </c>
      <c r="G97">
        <v>1</v>
      </c>
      <c r="H97">
        <v>40</v>
      </c>
      <c r="J97">
        <v>17120100</v>
      </c>
      <c r="K97" t="s">
        <v>140</v>
      </c>
      <c r="L97">
        <v>85</v>
      </c>
      <c r="M97">
        <v>85</v>
      </c>
      <c r="W97" t="s">
        <v>851</v>
      </c>
    </row>
    <row r="98" spans="1:23">
      <c r="B98" s="47" t="s">
        <v>858</v>
      </c>
      <c r="C98">
        <v>15122020</v>
      </c>
      <c r="D98" t="s">
        <v>138</v>
      </c>
      <c r="E98" t="s">
        <v>317</v>
      </c>
      <c r="F98" t="s">
        <v>139</v>
      </c>
      <c r="G98">
        <v>2</v>
      </c>
      <c r="H98">
        <v>50</v>
      </c>
      <c r="J98">
        <v>56110100</v>
      </c>
      <c r="K98" t="s">
        <v>140</v>
      </c>
      <c r="L98">
        <v>85</v>
      </c>
      <c r="M98">
        <v>85</v>
      </c>
      <c r="P98">
        <v>830141404</v>
      </c>
      <c r="W98" t="s">
        <v>851</v>
      </c>
    </row>
    <row r="99" spans="1:23">
      <c r="B99" s="47"/>
      <c r="E99"/>
    </row>
    <row r="100" spans="1:23">
      <c r="A100" t="s">
        <v>192</v>
      </c>
      <c r="B100" s="47" t="s">
        <v>859</v>
      </c>
      <c r="C100">
        <v>15122020</v>
      </c>
      <c r="D100" t="s">
        <v>138</v>
      </c>
      <c r="E100" t="s">
        <v>323</v>
      </c>
      <c r="F100" t="s">
        <v>139</v>
      </c>
      <c r="G100">
        <v>1</v>
      </c>
      <c r="H100">
        <v>40</v>
      </c>
      <c r="J100">
        <v>17120100</v>
      </c>
      <c r="K100" t="s">
        <v>140</v>
      </c>
      <c r="L100">
        <v>192</v>
      </c>
      <c r="M100">
        <v>192</v>
      </c>
      <c r="W100" t="s">
        <v>851</v>
      </c>
    </row>
    <row r="101" spans="1:23">
      <c r="B101" s="47" t="s">
        <v>859</v>
      </c>
      <c r="C101">
        <v>15122020</v>
      </c>
      <c r="D101" t="s">
        <v>138</v>
      </c>
      <c r="E101" t="s">
        <v>323</v>
      </c>
      <c r="F101" t="s">
        <v>139</v>
      </c>
      <c r="G101">
        <v>2</v>
      </c>
      <c r="H101">
        <v>50</v>
      </c>
      <c r="J101">
        <v>56110100</v>
      </c>
      <c r="K101" t="s">
        <v>140</v>
      </c>
      <c r="L101">
        <v>192</v>
      </c>
      <c r="M101">
        <v>192</v>
      </c>
      <c r="P101">
        <v>830141404</v>
      </c>
      <c r="W101" t="s">
        <v>851</v>
      </c>
    </row>
    <row r="102" spans="1:23">
      <c r="B102" s="47"/>
      <c r="E102"/>
    </row>
    <row r="103" spans="1:23">
      <c r="A103" t="s">
        <v>192</v>
      </c>
      <c r="B103" s="47" t="s">
        <v>860</v>
      </c>
      <c r="C103">
        <v>15122020</v>
      </c>
      <c r="D103" t="s">
        <v>138</v>
      </c>
      <c r="E103" t="s">
        <v>329</v>
      </c>
      <c r="F103" t="s">
        <v>139</v>
      </c>
      <c r="G103">
        <v>1</v>
      </c>
      <c r="H103">
        <v>40</v>
      </c>
      <c r="J103">
        <v>17120100</v>
      </c>
      <c r="K103" t="s">
        <v>140</v>
      </c>
      <c r="L103">
        <v>79</v>
      </c>
      <c r="M103">
        <v>79</v>
      </c>
      <c r="W103" t="s">
        <v>851</v>
      </c>
    </row>
    <row r="104" spans="1:23">
      <c r="B104" s="47" t="s">
        <v>860</v>
      </c>
      <c r="C104">
        <v>15122020</v>
      </c>
      <c r="D104" t="s">
        <v>138</v>
      </c>
      <c r="E104" t="s">
        <v>329</v>
      </c>
      <c r="F104" t="s">
        <v>139</v>
      </c>
      <c r="G104">
        <v>2</v>
      </c>
      <c r="H104">
        <v>50</v>
      </c>
      <c r="J104">
        <v>56110100</v>
      </c>
      <c r="K104" t="s">
        <v>140</v>
      </c>
      <c r="L104">
        <v>79</v>
      </c>
      <c r="M104">
        <v>79</v>
      </c>
      <c r="P104">
        <v>830141404</v>
      </c>
      <c r="W104" t="s">
        <v>851</v>
      </c>
    </row>
    <row r="105" spans="1:23">
      <c r="B105" s="47"/>
      <c r="E105"/>
    </row>
    <row r="106" spans="1:23">
      <c r="A106" t="s">
        <v>192</v>
      </c>
      <c r="B106" s="47" t="s">
        <v>861</v>
      </c>
      <c r="C106">
        <v>15122020</v>
      </c>
      <c r="D106" t="s">
        <v>138</v>
      </c>
      <c r="E106" t="s">
        <v>335</v>
      </c>
      <c r="F106" t="s">
        <v>139</v>
      </c>
      <c r="G106">
        <v>1</v>
      </c>
      <c r="H106">
        <v>40</v>
      </c>
      <c r="J106">
        <v>17120100</v>
      </c>
      <c r="K106" t="s">
        <v>140</v>
      </c>
      <c r="L106">
        <v>91</v>
      </c>
      <c r="M106">
        <v>91</v>
      </c>
      <c r="W106" t="s">
        <v>851</v>
      </c>
    </row>
    <row r="107" spans="1:23">
      <c r="B107" s="47" t="s">
        <v>861</v>
      </c>
      <c r="C107">
        <v>15122020</v>
      </c>
      <c r="D107" t="s">
        <v>138</v>
      </c>
      <c r="E107" t="s">
        <v>335</v>
      </c>
      <c r="F107" t="s">
        <v>139</v>
      </c>
      <c r="G107">
        <v>2</v>
      </c>
      <c r="H107">
        <v>50</v>
      </c>
      <c r="J107">
        <v>56110100</v>
      </c>
      <c r="K107" t="s">
        <v>140</v>
      </c>
      <c r="L107">
        <v>91</v>
      </c>
      <c r="M107">
        <v>91</v>
      </c>
      <c r="P107">
        <v>830141404</v>
      </c>
      <c r="W107" t="s">
        <v>851</v>
      </c>
    </row>
    <row r="108" spans="1:23">
      <c r="B108" s="47"/>
      <c r="E108"/>
    </row>
    <row r="109" spans="1:23">
      <c r="A109" t="s">
        <v>192</v>
      </c>
      <c r="B109" s="47" t="s">
        <v>862</v>
      </c>
      <c r="C109">
        <v>15122020</v>
      </c>
      <c r="D109" t="s">
        <v>138</v>
      </c>
      <c r="E109" t="s">
        <v>341</v>
      </c>
      <c r="F109" t="s">
        <v>139</v>
      </c>
      <c r="G109">
        <v>1</v>
      </c>
      <c r="H109">
        <v>40</v>
      </c>
      <c r="J109">
        <v>17120100</v>
      </c>
      <c r="K109" t="s">
        <v>140</v>
      </c>
      <c r="L109">
        <v>88</v>
      </c>
      <c r="M109">
        <v>88</v>
      </c>
      <c r="W109" t="s">
        <v>851</v>
      </c>
    </row>
    <row r="110" spans="1:23">
      <c r="B110" s="47" t="s">
        <v>862</v>
      </c>
      <c r="C110">
        <v>15122020</v>
      </c>
      <c r="D110" t="s">
        <v>138</v>
      </c>
      <c r="E110" t="s">
        <v>341</v>
      </c>
      <c r="F110" t="s">
        <v>139</v>
      </c>
      <c r="G110">
        <v>2</v>
      </c>
      <c r="H110">
        <v>50</v>
      </c>
      <c r="J110">
        <v>56110100</v>
      </c>
      <c r="K110" t="s">
        <v>140</v>
      </c>
      <c r="L110">
        <v>88</v>
      </c>
      <c r="M110">
        <v>88</v>
      </c>
      <c r="P110">
        <v>830141404</v>
      </c>
      <c r="W110" t="s">
        <v>851</v>
      </c>
    </row>
    <row r="111" spans="1:23">
      <c r="B111" s="47"/>
      <c r="E111"/>
    </row>
    <row r="112" spans="1:23">
      <c r="A112" t="s">
        <v>192</v>
      </c>
      <c r="B112" s="47" t="s">
        <v>853</v>
      </c>
      <c r="C112">
        <v>15122020</v>
      </c>
      <c r="D112" t="s">
        <v>138</v>
      </c>
      <c r="E112" t="s">
        <v>405</v>
      </c>
      <c r="F112" t="s">
        <v>139</v>
      </c>
      <c r="G112">
        <v>1</v>
      </c>
      <c r="H112">
        <v>40</v>
      </c>
      <c r="J112">
        <v>17120102</v>
      </c>
      <c r="K112" t="s">
        <v>140</v>
      </c>
      <c r="L112">
        <v>37</v>
      </c>
      <c r="M112">
        <v>37</v>
      </c>
      <c r="W112" t="s">
        <v>851</v>
      </c>
    </row>
    <row r="113" spans="1:23">
      <c r="B113" s="47" t="s">
        <v>853</v>
      </c>
      <c r="C113">
        <v>15122020</v>
      </c>
      <c r="D113" t="s">
        <v>138</v>
      </c>
      <c r="E113" t="s">
        <v>405</v>
      </c>
      <c r="F113" t="s">
        <v>139</v>
      </c>
      <c r="G113">
        <v>2</v>
      </c>
      <c r="H113">
        <v>40</v>
      </c>
      <c r="J113">
        <v>17120103</v>
      </c>
      <c r="K113" t="s">
        <v>140</v>
      </c>
      <c r="L113">
        <v>37</v>
      </c>
      <c r="M113">
        <v>37</v>
      </c>
      <c r="W113" t="s">
        <v>851</v>
      </c>
    </row>
    <row r="114" spans="1:23">
      <c r="B114" s="47" t="s">
        <v>853</v>
      </c>
      <c r="C114">
        <v>15122020</v>
      </c>
      <c r="D114" t="s">
        <v>138</v>
      </c>
      <c r="E114" t="s">
        <v>405</v>
      </c>
      <c r="F114" t="s">
        <v>139</v>
      </c>
      <c r="G114">
        <v>3</v>
      </c>
      <c r="H114">
        <v>50</v>
      </c>
      <c r="J114">
        <v>56110100</v>
      </c>
      <c r="K114" t="s">
        <v>140</v>
      </c>
      <c r="L114">
        <v>74</v>
      </c>
      <c r="M114">
        <v>74</v>
      </c>
      <c r="P114">
        <v>830141404</v>
      </c>
      <c r="W114" t="s">
        <v>851</v>
      </c>
    </row>
    <row r="115" spans="1:23">
      <c r="B115" s="47"/>
      <c r="E115"/>
    </row>
    <row r="116" spans="1:23">
      <c r="A116" t="s">
        <v>192</v>
      </c>
      <c r="B116" s="47" t="s">
        <v>852</v>
      </c>
      <c r="C116">
        <v>15122020</v>
      </c>
      <c r="D116" t="s">
        <v>138</v>
      </c>
      <c r="E116" t="s">
        <v>410</v>
      </c>
      <c r="F116" t="s">
        <v>139</v>
      </c>
      <c r="G116">
        <v>1</v>
      </c>
      <c r="H116">
        <v>40</v>
      </c>
      <c r="J116">
        <v>17120102</v>
      </c>
      <c r="K116" t="s">
        <v>140</v>
      </c>
      <c r="L116">
        <v>61</v>
      </c>
      <c r="M116">
        <v>61</v>
      </c>
      <c r="W116" t="s">
        <v>851</v>
      </c>
    </row>
    <row r="117" spans="1:23">
      <c r="B117" s="47" t="s">
        <v>852</v>
      </c>
      <c r="C117">
        <v>15122020</v>
      </c>
      <c r="D117" t="s">
        <v>138</v>
      </c>
      <c r="E117" t="s">
        <v>410</v>
      </c>
      <c r="F117" t="s">
        <v>139</v>
      </c>
      <c r="G117">
        <v>2</v>
      </c>
      <c r="H117">
        <v>40</v>
      </c>
      <c r="J117">
        <v>17120103</v>
      </c>
      <c r="K117" t="s">
        <v>140</v>
      </c>
      <c r="L117">
        <v>61</v>
      </c>
      <c r="M117">
        <v>61</v>
      </c>
      <c r="W117" t="s">
        <v>851</v>
      </c>
    </row>
    <row r="118" spans="1:23">
      <c r="B118" s="47" t="s">
        <v>852</v>
      </c>
      <c r="C118">
        <v>15122020</v>
      </c>
      <c r="D118" t="s">
        <v>138</v>
      </c>
      <c r="E118" t="s">
        <v>410</v>
      </c>
      <c r="F118" t="s">
        <v>139</v>
      </c>
      <c r="G118">
        <v>3</v>
      </c>
      <c r="H118">
        <v>50</v>
      </c>
      <c r="J118">
        <v>56110100</v>
      </c>
      <c r="K118" t="s">
        <v>140</v>
      </c>
      <c r="L118">
        <v>122</v>
      </c>
      <c r="M118">
        <v>122</v>
      </c>
      <c r="P118">
        <v>830141404</v>
      </c>
      <c r="W118" t="s">
        <v>851</v>
      </c>
    </row>
    <row r="119" spans="1:23">
      <c r="B119" s="47"/>
      <c r="E119"/>
    </row>
    <row r="120" spans="1:23">
      <c r="A120" t="s">
        <v>192</v>
      </c>
      <c r="B120" s="47" t="s">
        <v>863</v>
      </c>
      <c r="C120">
        <v>15122020</v>
      </c>
      <c r="D120" t="s">
        <v>138</v>
      </c>
      <c r="E120" t="s">
        <v>415</v>
      </c>
      <c r="F120" t="s">
        <v>139</v>
      </c>
      <c r="G120">
        <v>1</v>
      </c>
      <c r="H120">
        <v>40</v>
      </c>
      <c r="J120">
        <v>17120100</v>
      </c>
      <c r="K120" t="s">
        <v>140</v>
      </c>
      <c r="L120">
        <v>88</v>
      </c>
      <c r="M120">
        <v>88</v>
      </c>
      <c r="W120" t="s">
        <v>851</v>
      </c>
    </row>
    <row r="121" spans="1:23">
      <c r="B121" s="47" t="s">
        <v>863</v>
      </c>
      <c r="C121">
        <v>15122020</v>
      </c>
      <c r="D121" t="s">
        <v>138</v>
      </c>
      <c r="E121" t="s">
        <v>415</v>
      </c>
      <c r="F121" t="s">
        <v>139</v>
      </c>
      <c r="G121">
        <v>2</v>
      </c>
      <c r="H121">
        <v>50</v>
      </c>
      <c r="J121">
        <v>56110100</v>
      </c>
      <c r="K121" t="s">
        <v>140</v>
      </c>
      <c r="L121">
        <v>88</v>
      </c>
      <c r="M121">
        <v>88</v>
      </c>
      <c r="P121">
        <v>830141404</v>
      </c>
      <c r="W121" t="s">
        <v>851</v>
      </c>
    </row>
    <row r="122" spans="1:23">
      <c r="B122" s="47"/>
      <c r="E122"/>
    </row>
    <row r="123" spans="1:23">
      <c r="A123" t="s">
        <v>192</v>
      </c>
      <c r="B123" s="47" t="s">
        <v>864</v>
      </c>
      <c r="C123">
        <v>15122020</v>
      </c>
      <c r="D123" t="s">
        <v>138</v>
      </c>
      <c r="E123" t="s">
        <v>421</v>
      </c>
      <c r="F123" t="s">
        <v>139</v>
      </c>
      <c r="G123">
        <v>1</v>
      </c>
      <c r="H123">
        <v>40</v>
      </c>
      <c r="J123">
        <v>17120100</v>
      </c>
      <c r="K123" t="s">
        <v>140</v>
      </c>
      <c r="L123">
        <v>96</v>
      </c>
      <c r="M123">
        <v>96</v>
      </c>
      <c r="W123" t="s">
        <v>851</v>
      </c>
    </row>
    <row r="124" spans="1:23">
      <c r="B124" s="47" t="s">
        <v>864</v>
      </c>
      <c r="C124">
        <v>15122020</v>
      </c>
      <c r="D124" t="s">
        <v>138</v>
      </c>
      <c r="E124" t="s">
        <v>421</v>
      </c>
      <c r="F124" t="s">
        <v>139</v>
      </c>
      <c r="G124">
        <v>2</v>
      </c>
      <c r="H124">
        <v>50</v>
      </c>
      <c r="J124">
        <v>56110100</v>
      </c>
      <c r="K124" t="s">
        <v>140</v>
      </c>
      <c r="L124">
        <v>96</v>
      </c>
      <c r="M124">
        <v>96</v>
      </c>
      <c r="P124">
        <v>830141404</v>
      </c>
      <c r="W124" t="s">
        <v>851</v>
      </c>
    </row>
    <row r="125" spans="1:23">
      <c r="B125" s="47"/>
      <c r="E125"/>
    </row>
    <row r="126" spans="1:23">
      <c r="A126" t="s">
        <v>192</v>
      </c>
      <c r="B126" s="47" t="s">
        <v>864</v>
      </c>
      <c r="C126">
        <v>15122020</v>
      </c>
      <c r="D126" t="s">
        <v>138</v>
      </c>
      <c r="E126" t="s">
        <v>427</v>
      </c>
      <c r="F126" t="s">
        <v>139</v>
      </c>
      <c r="G126">
        <v>1</v>
      </c>
      <c r="H126">
        <v>40</v>
      </c>
      <c r="J126">
        <v>17120102</v>
      </c>
      <c r="K126" t="s">
        <v>140</v>
      </c>
      <c r="L126">
        <v>48</v>
      </c>
      <c r="M126">
        <v>48</v>
      </c>
      <c r="W126" t="s">
        <v>851</v>
      </c>
    </row>
    <row r="127" spans="1:23">
      <c r="B127" s="47" t="s">
        <v>864</v>
      </c>
      <c r="C127">
        <v>15122020</v>
      </c>
      <c r="D127" t="s">
        <v>138</v>
      </c>
      <c r="E127" t="s">
        <v>427</v>
      </c>
      <c r="F127" t="s">
        <v>139</v>
      </c>
      <c r="G127">
        <v>2</v>
      </c>
      <c r="H127">
        <v>40</v>
      </c>
      <c r="J127">
        <v>17120103</v>
      </c>
      <c r="K127" t="s">
        <v>140</v>
      </c>
      <c r="L127">
        <v>48</v>
      </c>
      <c r="M127">
        <v>48</v>
      </c>
      <c r="W127" t="s">
        <v>851</v>
      </c>
    </row>
    <row r="128" spans="1:23">
      <c r="B128" s="47" t="s">
        <v>864</v>
      </c>
      <c r="C128">
        <v>15122020</v>
      </c>
      <c r="D128" t="s">
        <v>138</v>
      </c>
      <c r="E128" t="s">
        <v>427</v>
      </c>
      <c r="F128" t="s">
        <v>139</v>
      </c>
      <c r="G128">
        <v>3</v>
      </c>
      <c r="H128">
        <v>50</v>
      </c>
      <c r="J128">
        <v>56110100</v>
      </c>
      <c r="K128" t="s">
        <v>140</v>
      </c>
      <c r="L128">
        <v>96</v>
      </c>
      <c r="M128">
        <v>96</v>
      </c>
      <c r="P128">
        <v>830141404</v>
      </c>
      <c r="W128" t="s">
        <v>851</v>
      </c>
    </row>
    <row r="129" spans="1:23">
      <c r="B129" s="47"/>
      <c r="E129"/>
    </row>
    <row r="130" spans="1:23">
      <c r="A130" t="s">
        <v>192</v>
      </c>
      <c r="B130" s="47" t="s">
        <v>859</v>
      </c>
      <c r="C130">
        <v>15122020</v>
      </c>
      <c r="D130" t="s">
        <v>138</v>
      </c>
      <c r="E130" t="s">
        <v>430</v>
      </c>
      <c r="F130" t="s">
        <v>139</v>
      </c>
      <c r="G130">
        <v>1</v>
      </c>
      <c r="H130">
        <v>40</v>
      </c>
      <c r="J130">
        <v>17120100</v>
      </c>
      <c r="K130" t="s">
        <v>140</v>
      </c>
      <c r="L130">
        <v>89</v>
      </c>
      <c r="M130">
        <v>89</v>
      </c>
      <c r="W130" t="s">
        <v>851</v>
      </c>
    </row>
    <row r="131" spans="1:23">
      <c r="B131" s="47" t="s">
        <v>859</v>
      </c>
      <c r="C131">
        <v>15122020</v>
      </c>
      <c r="D131" t="s">
        <v>138</v>
      </c>
      <c r="E131" t="s">
        <v>430</v>
      </c>
      <c r="F131" t="s">
        <v>139</v>
      </c>
      <c r="G131">
        <v>2</v>
      </c>
      <c r="H131">
        <v>50</v>
      </c>
      <c r="J131">
        <v>56110100</v>
      </c>
      <c r="K131" t="s">
        <v>140</v>
      </c>
      <c r="L131">
        <v>89</v>
      </c>
      <c r="M131">
        <v>89</v>
      </c>
      <c r="P131">
        <v>830141404</v>
      </c>
      <c r="W131" t="s">
        <v>851</v>
      </c>
    </row>
    <row r="132" spans="1:23">
      <c r="B132" s="47"/>
      <c r="E132"/>
    </row>
    <row r="133" spans="1:23">
      <c r="A133" t="s">
        <v>192</v>
      </c>
      <c r="B133" s="47" t="s">
        <v>857</v>
      </c>
      <c r="C133">
        <v>15122020</v>
      </c>
      <c r="D133" t="s">
        <v>138</v>
      </c>
      <c r="E133" t="s">
        <v>435</v>
      </c>
      <c r="F133" t="s">
        <v>139</v>
      </c>
      <c r="G133">
        <v>1</v>
      </c>
      <c r="H133">
        <v>40</v>
      </c>
      <c r="J133">
        <v>17120102</v>
      </c>
      <c r="K133" t="s">
        <v>140</v>
      </c>
      <c r="L133">
        <v>34</v>
      </c>
      <c r="M133">
        <v>34</v>
      </c>
      <c r="W133" t="s">
        <v>851</v>
      </c>
    </row>
    <row r="134" spans="1:23">
      <c r="B134" s="47" t="s">
        <v>857</v>
      </c>
      <c r="C134">
        <v>15122020</v>
      </c>
      <c r="D134" t="s">
        <v>138</v>
      </c>
      <c r="E134" t="s">
        <v>435</v>
      </c>
      <c r="F134" t="s">
        <v>139</v>
      </c>
      <c r="G134">
        <v>2</v>
      </c>
      <c r="H134">
        <v>40</v>
      </c>
      <c r="J134">
        <v>17120103</v>
      </c>
      <c r="K134" t="s">
        <v>140</v>
      </c>
      <c r="L134">
        <v>34</v>
      </c>
      <c r="M134">
        <v>34</v>
      </c>
      <c r="W134" t="s">
        <v>851</v>
      </c>
    </row>
    <row r="135" spans="1:23">
      <c r="B135" s="47" t="s">
        <v>857</v>
      </c>
      <c r="C135">
        <v>15122020</v>
      </c>
      <c r="D135" t="s">
        <v>138</v>
      </c>
      <c r="E135" t="s">
        <v>435</v>
      </c>
      <c r="F135" t="s">
        <v>139</v>
      </c>
      <c r="G135">
        <v>3</v>
      </c>
      <c r="H135">
        <v>50</v>
      </c>
      <c r="J135">
        <v>56110100</v>
      </c>
      <c r="K135" t="s">
        <v>140</v>
      </c>
      <c r="L135">
        <v>68</v>
      </c>
      <c r="M135">
        <v>68</v>
      </c>
      <c r="P135">
        <v>830141404</v>
      </c>
      <c r="W135" t="s">
        <v>851</v>
      </c>
    </row>
    <row r="136" spans="1:23">
      <c r="B136" s="47"/>
      <c r="E136"/>
    </row>
    <row r="137" spans="1:23">
      <c r="A137" t="s">
        <v>192</v>
      </c>
      <c r="B137" s="47" t="s">
        <v>859</v>
      </c>
      <c r="C137">
        <v>15122020</v>
      </c>
      <c r="D137" t="s">
        <v>138</v>
      </c>
      <c r="E137" t="s">
        <v>440</v>
      </c>
      <c r="F137" t="s">
        <v>139</v>
      </c>
      <c r="G137">
        <v>1</v>
      </c>
      <c r="H137">
        <v>40</v>
      </c>
      <c r="J137">
        <v>17120102</v>
      </c>
      <c r="K137" t="s">
        <v>140</v>
      </c>
      <c r="L137">
        <v>60</v>
      </c>
      <c r="M137">
        <v>60</v>
      </c>
      <c r="W137" t="s">
        <v>851</v>
      </c>
    </row>
    <row r="138" spans="1:23">
      <c r="B138" s="47" t="s">
        <v>859</v>
      </c>
      <c r="C138">
        <v>15122020</v>
      </c>
      <c r="D138" t="s">
        <v>138</v>
      </c>
      <c r="E138" t="s">
        <v>440</v>
      </c>
      <c r="F138" t="s">
        <v>139</v>
      </c>
      <c r="G138">
        <v>2</v>
      </c>
      <c r="H138">
        <v>40</v>
      </c>
      <c r="J138">
        <v>17120103</v>
      </c>
      <c r="K138" t="s">
        <v>140</v>
      </c>
      <c r="L138">
        <v>60</v>
      </c>
      <c r="M138">
        <v>60</v>
      </c>
      <c r="W138" t="s">
        <v>851</v>
      </c>
    </row>
    <row r="139" spans="1:23">
      <c r="B139" s="47" t="s">
        <v>859</v>
      </c>
      <c r="C139">
        <v>15122020</v>
      </c>
      <c r="D139" t="s">
        <v>138</v>
      </c>
      <c r="E139" t="s">
        <v>440</v>
      </c>
      <c r="F139" t="s">
        <v>139</v>
      </c>
      <c r="G139">
        <v>3</v>
      </c>
      <c r="H139">
        <v>50</v>
      </c>
      <c r="J139">
        <v>56110100</v>
      </c>
      <c r="K139" t="s">
        <v>140</v>
      </c>
      <c r="L139">
        <v>120</v>
      </c>
      <c r="M139">
        <v>120</v>
      </c>
      <c r="P139">
        <v>830141404</v>
      </c>
      <c r="W139" t="s">
        <v>851</v>
      </c>
    </row>
    <row r="140" spans="1:23">
      <c r="B140" s="47"/>
      <c r="E140"/>
    </row>
    <row r="141" spans="1:23">
      <c r="A141" t="s">
        <v>192</v>
      </c>
      <c r="B141" s="47" t="s">
        <v>865</v>
      </c>
      <c r="C141">
        <v>15122020</v>
      </c>
      <c r="D141" t="s">
        <v>138</v>
      </c>
      <c r="E141" t="s">
        <v>444</v>
      </c>
      <c r="F141" t="s">
        <v>139</v>
      </c>
      <c r="G141">
        <v>1</v>
      </c>
      <c r="H141">
        <v>40</v>
      </c>
      <c r="J141">
        <v>17120102</v>
      </c>
      <c r="K141" t="s">
        <v>140</v>
      </c>
      <c r="L141">
        <v>50</v>
      </c>
      <c r="M141">
        <v>50</v>
      </c>
      <c r="W141" t="s">
        <v>851</v>
      </c>
    </row>
    <row r="142" spans="1:23">
      <c r="B142" s="47" t="s">
        <v>865</v>
      </c>
      <c r="C142">
        <v>15122020</v>
      </c>
      <c r="D142" t="s">
        <v>138</v>
      </c>
      <c r="E142" t="s">
        <v>444</v>
      </c>
      <c r="F142" t="s">
        <v>139</v>
      </c>
      <c r="G142">
        <v>2</v>
      </c>
      <c r="H142">
        <v>40</v>
      </c>
      <c r="J142">
        <v>17120103</v>
      </c>
      <c r="K142" t="s">
        <v>140</v>
      </c>
      <c r="L142">
        <v>50</v>
      </c>
      <c r="M142">
        <v>50</v>
      </c>
      <c r="W142" t="s">
        <v>851</v>
      </c>
    </row>
    <row r="143" spans="1:23">
      <c r="B143" s="47" t="s">
        <v>865</v>
      </c>
      <c r="C143">
        <v>15122020</v>
      </c>
      <c r="D143" t="s">
        <v>138</v>
      </c>
      <c r="E143" t="s">
        <v>444</v>
      </c>
      <c r="F143" t="s">
        <v>139</v>
      </c>
      <c r="G143">
        <v>3</v>
      </c>
      <c r="H143">
        <v>50</v>
      </c>
      <c r="J143">
        <v>56110100</v>
      </c>
      <c r="K143" t="s">
        <v>140</v>
      </c>
      <c r="L143">
        <v>100</v>
      </c>
      <c r="M143">
        <v>100</v>
      </c>
      <c r="P143">
        <v>830141404</v>
      </c>
      <c r="W143" t="s">
        <v>851</v>
      </c>
    </row>
    <row r="144" spans="1:23">
      <c r="B144" s="47"/>
      <c r="E144"/>
    </row>
    <row r="145" spans="1:23">
      <c r="A145" t="s">
        <v>192</v>
      </c>
      <c r="B145" s="47" t="s">
        <v>861</v>
      </c>
      <c r="C145">
        <v>15122020</v>
      </c>
      <c r="D145" t="s">
        <v>138</v>
      </c>
      <c r="E145" t="s">
        <v>450</v>
      </c>
      <c r="F145" t="s">
        <v>139</v>
      </c>
      <c r="G145">
        <v>1</v>
      </c>
      <c r="H145">
        <v>40</v>
      </c>
      <c r="J145">
        <v>17120102</v>
      </c>
      <c r="K145" t="s">
        <v>140</v>
      </c>
      <c r="L145">
        <v>34</v>
      </c>
      <c r="M145">
        <v>34</v>
      </c>
      <c r="W145" t="s">
        <v>851</v>
      </c>
    </row>
    <row r="146" spans="1:23">
      <c r="B146" s="47" t="s">
        <v>861</v>
      </c>
      <c r="C146">
        <v>15122020</v>
      </c>
      <c r="D146" t="s">
        <v>138</v>
      </c>
      <c r="E146" t="s">
        <v>450</v>
      </c>
      <c r="F146" t="s">
        <v>139</v>
      </c>
      <c r="G146">
        <v>2</v>
      </c>
      <c r="H146">
        <v>40</v>
      </c>
      <c r="J146">
        <v>17120103</v>
      </c>
      <c r="K146" t="s">
        <v>140</v>
      </c>
      <c r="L146">
        <v>34</v>
      </c>
      <c r="M146">
        <v>34</v>
      </c>
      <c r="W146" t="s">
        <v>851</v>
      </c>
    </row>
    <row r="147" spans="1:23">
      <c r="B147" s="47" t="s">
        <v>861</v>
      </c>
      <c r="C147">
        <v>15122020</v>
      </c>
      <c r="D147" t="s">
        <v>138</v>
      </c>
      <c r="E147" t="s">
        <v>450</v>
      </c>
      <c r="F147" t="s">
        <v>139</v>
      </c>
      <c r="G147">
        <v>3</v>
      </c>
      <c r="H147">
        <v>50</v>
      </c>
      <c r="J147">
        <v>56110100</v>
      </c>
      <c r="K147" t="s">
        <v>140</v>
      </c>
      <c r="L147">
        <v>68</v>
      </c>
      <c r="M147">
        <v>68</v>
      </c>
      <c r="P147">
        <v>830141404</v>
      </c>
      <c r="W147" t="s">
        <v>851</v>
      </c>
    </row>
    <row r="148" spans="1:23">
      <c r="B148" s="47"/>
      <c r="E148"/>
    </row>
    <row r="149" spans="1:23">
      <c r="A149" t="s">
        <v>192</v>
      </c>
      <c r="B149" s="47" t="s">
        <v>860</v>
      </c>
      <c r="C149">
        <v>15122020</v>
      </c>
      <c r="D149" t="s">
        <v>138</v>
      </c>
      <c r="E149" t="s">
        <v>454</v>
      </c>
      <c r="F149" t="s">
        <v>139</v>
      </c>
      <c r="G149">
        <v>1</v>
      </c>
      <c r="H149">
        <v>40</v>
      </c>
      <c r="J149">
        <v>17120102</v>
      </c>
      <c r="K149" t="s">
        <v>140</v>
      </c>
      <c r="L149">
        <v>34</v>
      </c>
      <c r="M149">
        <v>34</v>
      </c>
      <c r="W149" t="s">
        <v>851</v>
      </c>
    </row>
    <row r="150" spans="1:23">
      <c r="B150" s="47" t="s">
        <v>860</v>
      </c>
      <c r="C150">
        <v>15122020</v>
      </c>
      <c r="D150" t="s">
        <v>138</v>
      </c>
      <c r="E150" t="s">
        <v>454</v>
      </c>
      <c r="F150" t="s">
        <v>139</v>
      </c>
      <c r="G150">
        <v>2</v>
      </c>
      <c r="H150">
        <v>40</v>
      </c>
      <c r="J150">
        <v>17120103</v>
      </c>
      <c r="K150" t="s">
        <v>140</v>
      </c>
      <c r="L150">
        <v>34</v>
      </c>
      <c r="M150">
        <v>34</v>
      </c>
      <c r="W150" t="s">
        <v>851</v>
      </c>
    </row>
    <row r="151" spans="1:23">
      <c r="B151" s="47" t="s">
        <v>860</v>
      </c>
      <c r="C151">
        <v>15122020</v>
      </c>
      <c r="D151" t="s">
        <v>138</v>
      </c>
      <c r="E151" t="s">
        <v>454</v>
      </c>
      <c r="F151" t="s">
        <v>139</v>
      </c>
      <c r="G151">
        <v>3</v>
      </c>
      <c r="H151">
        <v>50</v>
      </c>
      <c r="J151">
        <v>56110100</v>
      </c>
      <c r="K151" t="s">
        <v>140</v>
      </c>
      <c r="L151">
        <v>68</v>
      </c>
      <c r="M151">
        <v>68</v>
      </c>
      <c r="P151">
        <v>830141404</v>
      </c>
      <c r="W151" t="s">
        <v>851</v>
      </c>
    </row>
    <row r="152" spans="1:23">
      <c r="B152" s="47"/>
      <c r="E152"/>
    </row>
    <row r="153" spans="1:23">
      <c r="A153" t="s">
        <v>192</v>
      </c>
      <c r="B153" s="47" t="s">
        <v>866</v>
      </c>
      <c r="C153">
        <v>15122020</v>
      </c>
      <c r="D153" t="s">
        <v>138</v>
      </c>
      <c r="E153" t="s">
        <v>459</v>
      </c>
      <c r="F153" t="s">
        <v>139</v>
      </c>
      <c r="G153">
        <v>1</v>
      </c>
      <c r="H153">
        <v>40</v>
      </c>
      <c r="J153">
        <v>17120102</v>
      </c>
      <c r="K153" t="s">
        <v>140</v>
      </c>
      <c r="L153">
        <v>73</v>
      </c>
      <c r="M153">
        <v>73</v>
      </c>
      <c r="W153" t="s">
        <v>851</v>
      </c>
    </row>
    <row r="154" spans="1:23">
      <c r="B154" s="47" t="s">
        <v>866</v>
      </c>
      <c r="C154">
        <v>15122020</v>
      </c>
      <c r="D154" t="s">
        <v>138</v>
      </c>
      <c r="E154" t="s">
        <v>459</v>
      </c>
      <c r="F154" t="s">
        <v>139</v>
      </c>
      <c r="G154">
        <v>2</v>
      </c>
      <c r="H154">
        <v>40</v>
      </c>
      <c r="J154">
        <v>17120103</v>
      </c>
      <c r="K154" t="s">
        <v>140</v>
      </c>
      <c r="L154">
        <v>73</v>
      </c>
      <c r="M154">
        <v>73</v>
      </c>
      <c r="W154" t="s">
        <v>851</v>
      </c>
    </row>
    <row r="155" spans="1:23">
      <c r="B155" s="47" t="s">
        <v>866</v>
      </c>
      <c r="C155">
        <v>15122020</v>
      </c>
      <c r="D155" t="s">
        <v>138</v>
      </c>
      <c r="E155" t="s">
        <v>459</v>
      </c>
      <c r="F155" t="s">
        <v>139</v>
      </c>
      <c r="G155">
        <v>3</v>
      </c>
      <c r="H155">
        <v>50</v>
      </c>
      <c r="J155">
        <v>56110100</v>
      </c>
      <c r="K155" t="s">
        <v>140</v>
      </c>
      <c r="L155">
        <v>146</v>
      </c>
      <c r="M155">
        <v>146</v>
      </c>
      <c r="P155">
        <v>830141404</v>
      </c>
      <c r="W155" t="s">
        <v>851</v>
      </c>
    </row>
    <row r="156" spans="1:23">
      <c r="B156" s="47"/>
      <c r="E156"/>
    </row>
    <row r="157" spans="1:23">
      <c r="A157" t="s">
        <v>192</v>
      </c>
      <c r="B157" s="47" t="s">
        <v>866</v>
      </c>
      <c r="C157">
        <v>15122020</v>
      </c>
      <c r="D157" t="s">
        <v>138</v>
      </c>
      <c r="E157" t="s">
        <v>465</v>
      </c>
      <c r="F157" t="s">
        <v>139</v>
      </c>
      <c r="G157">
        <v>1</v>
      </c>
      <c r="H157">
        <v>40</v>
      </c>
      <c r="J157">
        <v>17120102</v>
      </c>
      <c r="K157" t="s">
        <v>140</v>
      </c>
      <c r="L157">
        <v>40</v>
      </c>
      <c r="M157">
        <v>40</v>
      </c>
      <c r="W157" t="s">
        <v>851</v>
      </c>
    </row>
    <row r="158" spans="1:23">
      <c r="B158" s="47" t="s">
        <v>866</v>
      </c>
      <c r="C158">
        <v>15122020</v>
      </c>
      <c r="D158" t="s">
        <v>138</v>
      </c>
      <c r="E158" t="s">
        <v>465</v>
      </c>
      <c r="F158" t="s">
        <v>139</v>
      </c>
      <c r="G158">
        <v>2</v>
      </c>
      <c r="H158">
        <v>40</v>
      </c>
      <c r="J158">
        <v>17120103</v>
      </c>
      <c r="K158" t="s">
        <v>140</v>
      </c>
      <c r="L158">
        <v>40</v>
      </c>
      <c r="M158">
        <v>40</v>
      </c>
      <c r="W158" t="s">
        <v>851</v>
      </c>
    </row>
    <row r="159" spans="1:23">
      <c r="B159" s="47" t="s">
        <v>866</v>
      </c>
      <c r="C159">
        <v>15122020</v>
      </c>
      <c r="D159" t="s">
        <v>138</v>
      </c>
      <c r="E159" t="s">
        <v>465</v>
      </c>
      <c r="F159" t="s">
        <v>139</v>
      </c>
      <c r="G159">
        <v>3</v>
      </c>
      <c r="H159">
        <v>50</v>
      </c>
      <c r="J159">
        <v>56110100</v>
      </c>
      <c r="K159" t="s">
        <v>140</v>
      </c>
      <c r="L159">
        <v>80</v>
      </c>
      <c r="M159">
        <v>80</v>
      </c>
      <c r="P159">
        <v>830141404</v>
      </c>
      <c r="W159" t="s">
        <v>851</v>
      </c>
    </row>
    <row r="160" spans="1:23">
      <c r="B160" s="47"/>
      <c r="E160"/>
    </row>
    <row r="161" spans="1:23">
      <c r="A161" t="s">
        <v>192</v>
      </c>
      <c r="B161" s="47" t="s">
        <v>859</v>
      </c>
      <c r="C161">
        <v>15122020</v>
      </c>
      <c r="D161" t="s">
        <v>138</v>
      </c>
      <c r="E161" t="s">
        <v>468</v>
      </c>
      <c r="F161" t="s">
        <v>139</v>
      </c>
      <c r="G161">
        <v>1</v>
      </c>
      <c r="H161">
        <v>40</v>
      </c>
      <c r="J161">
        <v>17120102</v>
      </c>
      <c r="K161" t="s">
        <v>140</v>
      </c>
      <c r="L161">
        <v>60</v>
      </c>
      <c r="M161">
        <v>60</v>
      </c>
      <c r="W161" t="s">
        <v>851</v>
      </c>
    </row>
    <row r="162" spans="1:23">
      <c r="B162" s="47" t="s">
        <v>859</v>
      </c>
      <c r="C162">
        <v>15122020</v>
      </c>
      <c r="D162" t="s">
        <v>138</v>
      </c>
      <c r="E162" t="s">
        <v>468</v>
      </c>
      <c r="F162" t="s">
        <v>139</v>
      </c>
      <c r="G162">
        <v>2</v>
      </c>
      <c r="H162">
        <v>40</v>
      </c>
      <c r="J162">
        <v>17120103</v>
      </c>
      <c r="K162" t="s">
        <v>140</v>
      </c>
      <c r="L162">
        <v>60</v>
      </c>
      <c r="M162">
        <v>60</v>
      </c>
      <c r="W162" t="s">
        <v>851</v>
      </c>
    </row>
    <row r="163" spans="1:23">
      <c r="B163" s="47" t="s">
        <v>859</v>
      </c>
      <c r="C163">
        <v>15122020</v>
      </c>
      <c r="D163" t="s">
        <v>138</v>
      </c>
      <c r="E163" t="s">
        <v>468</v>
      </c>
      <c r="F163" t="s">
        <v>139</v>
      </c>
      <c r="G163">
        <v>3</v>
      </c>
      <c r="H163">
        <v>50</v>
      </c>
      <c r="J163">
        <v>56110100</v>
      </c>
      <c r="K163" t="s">
        <v>140</v>
      </c>
      <c r="L163">
        <v>120</v>
      </c>
      <c r="M163">
        <v>120</v>
      </c>
      <c r="P163">
        <v>830141404</v>
      </c>
      <c r="W163" t="s">
        <v>851</v>
      </c>
    </row>
    <row r="164" spans="1:23">
      <c r="B164" s="47"/>
      <c r="E164"/>
    </row>
    <row r="165" spans="1:23">
      <c r="A165" t="s">
        <v>192</v>
      </c>
      <c r="B165" s="47" t="s">
        <v>867</v>
      </c>
      <c r="C165">
        <v>15122020</v>
      </c>
      <c r="D165" t="s">
        <v>138</v>
      </c>
      <c r="E165" t="s">
        <v>473</v>
      </c>
      <c r="F165" t="s">
        <v>139</v>
      </c>
      <c r="G165">
        <v>1</v>
      </c>
      <c r="H165">
        <v>40</v>
      </c>
      <c r="J165">
        <v>17120102</v>
      </c>
      <c r="K165" t="s">
        <v>140</v>
      </c>
      <c r="L165">
        <v>46</v>
      </c>
      <c r="M165">
        <v>46</v>
      </c>
      <c r="W165" t="s">
        <v>851</v>
      </c>
    </row>
    <row r="166" spans="1:23">
      <c r="B166" s="47" t="s">
        <v>867</v>
      </c>
      <c r="C166">
        <v>15122020</v>
      </c>
      <c r="D166" t="s">
        <v>138</v>
      </c>
      <c r="E166" t="s">
        <v>473</v>
      </c>
      <c r="F166" t="s">
        <v>139</v>
      </c>
      <c r="G166">
        <v>2</v>
      </c>
      <c r="H166">
        <v>40</v>
      </c>
      <c r="J166">
        <v>17120103</v>
      </c>
      <c r="K166" t="s">
        <v>140</v>
      </c>
      <c r="L166">
        <v>46</v>
      </c>
      <c r="M166">
        <v>46</v>
      </c>
      <c r="W166" t="s">
        <v>851</v>
      </c>
    </row>
    <row r="167" spans="1:23">
      <c r="B167" s="47" t="s">
        <v>867</v>
      </c>
      <c r="C167">
        <v>15122020</v>
      </c>
      <c r="D167" t="s">
        <v>138</v>
      </c>
      <c r="E167" t="s">
        <v>473</v>
      </c>
      <c r="F167" t="s">
        <v>139</v>
      </c>
      <c r="G167">
        <v>3</v>
      </c>
      <c r="H167">
        <v>50</v>
      </c>
      <c r="J167">
        <v>56110100</v>
      </c>
      <c r="K167" t="s">
        <v>140</v>
      </c>
      <c r="L167">
        <v>92</v>
      </c>
      <c r="M167">
        <v>92</v>
      </c>
      <c r="P167">
        <v>830141404</v>
      </c>
      <c r="W167" t="s">
        <v>851</v>
      </c>
    </row>
    <row r="168" spans="1:23">
      <c r="B168" s="47"/>
      <c r="E168"/>
    </row>
    <row r="169" spans="1:23">
      <c r="A169" t="s">
        <v>479</v>
      </c>
      <c r="B169" s="47" t="s">
        <v>868</v>
      </c>
      <c r="C169">
        <v>15122020</v>
      </c>
      <c r="D169" t="s">
        <v>138</v>
      </c>
      <c r="E169" t="s">
        <v>480</v>
      </c>
      <c r="F169" t="s">
        <v>139</v>
      </c>
      <c r="G169">
        <v>1</v>
      </c>
      <c r="H169">
        <v>40</v>
      </c>
      <c r="J169">
        <v>56110100</v>
      </c>
      <c r="K169" t="s">
        <v>140</v>
      </c>
      <c r="L169">
        <v>92</v>
      </c>
      <c r="M169">
        <v>92</v>
      </c>
      <c r="P169">
        <v>830141404</v>
      </c>
      <c r="W169" t="s">
        <v>851</v>
      </c>
    </row>
    <row r="170" spans="1:23">
      <c r="B170" s="47" t="s">
        <v>868</v>
      </c>
      <c r="C170">
        <v>15122020</v>
      </c>
      <c r="D170" t="s">
        <v>138</v>
      </c>
      <c r="E170" t="s">
        <v>480</v>
      </c>
      <c r="F170" t="s">
        <v>139</v>
      </c>
      <c r="G170">
        <v>2</v>
      </c>
      <c r="H170">
        <v>50</v>
      </c>
      <c r="J170">
        <v>17120102</v>
      </c>
      <c r="K170" t="s">
        <v>140</v>
      </c>
      <c r="L170">
        <v>46</v>
      </c>
      <c r="M170">
        <v>46</v>
      </c>
      <c r="W170" t="s">
        <v>851</v>
      </c>
    </row>
    <row r="171" spans="1:23">
      <c r="B171" s="47" t="s">
        <v>868</v>
      </c>
      <c r="C171">
        <v>15122020</v>
      </c>
      <c r="D171" t="s">
        <v>138</v>
      </c>
      <c r="E171" t="s">
        <v>480</v>
      </c>
      <c r="F171" t="s">
        <v>139</v>
      </c>
      <c r="G171">
        <v>3</v>
      </c>
      <c r="H171">
        <v>50</v>
      </c>
      <c r="J171">
        <v>17120103</v>
      </c>
      <c r="K171" t="s">
        <v>140</v>
      </c>
      <c r="L171">
        <v>46</v>
      </c>
      <c r="M171">
        <v>46</v>
      </c>
      <c r="W171" t="s">
        <v>851</v>
      </c>
    </row>
    <row r="172" spans="1:23">
      <c r="B172" s="47"/>
      <c r="E172"/>
    </row>
    <row r="173" spans="1:23">
      <c r="A173" t="s">
        <v>192</v>
      </c>
      <c r="B173" s="47" t="s">
        <v>866</v>
      </c>
      <c r="C173">
        <v>15122020</v>
      </c>
      <c r="D173" t="s">
        <v>138</v>
      </c>
      <c r="E173" t="s">
        <v>484</v>
      </c>
      <c r="F173" t="s">
        <v>139</v>
      </c>
      <c r="G173">
        <v>1</v>
      </c>
      <c r="H173">
        <v>40</v>
      </c>
      <c r="J173">
        <v>17120102</v>
      </c>
      <c r="K173" t="s">
        <v>140</v>
      </c>
      <c r="L173">
        <v>96</v>
      </c>
      <c r="M173">
        <v>96</v>
      </c>
      <c r="W173" t="s">
        <v>851</v>
      </c>
    </row>
    <row r="174" spans="1:23">
      <c r="B174" s="47" t="s">
        <v>866</v>
      </c>
      <c r="C174">
        <v>15122020</v>
      </c>
      <c r="D174" t="s">
        <v>138</v>
      </c>
      <c r="E174" t="s">
        <v>484</v>
      </c>
      <c r="F174" t="s">
        <v>139</v>
      </c>
      <c r="G174">
        <v>2</v>
      </c>
      <c r="H174">
        <v>40</v>
      </c>
      <c r="J174">
        <v>17120103</v>
      </c>
      <c r="K174" t="s">
        <v>140</v>
      </c>
      <c r="L174">
        <v>96</v>
      </c>
      <c r="M174">
        <v>96</v>
      </c>
      <c r="W174" t="s">
        <v>851</v>
      </c>
    </row>
    <row r="175" spans="1:23">
      <c r="B175" s="47" t="s">
        <v>866</v>
      </c>
      <c r="C175">
        <v>15122020</v>
      </c>
      <c r="D175" t="s">
        <v>138</v>
      </c>
      <c r="E175" t="s">
        <v>484</v>
      </c>
      <c r="F175" t="s">
        <v>139</v>
      </c>
      <c r="G175">
        <v>3</v>
      </c>
      <c r="H175">
        <v>50</v>
      </c>
      <c r="J175">
        <v>56110100</v>
      </c>
      <c r="K175" t="s">
        <v>140</v>
      </c>
      <c r="L175">
        <v>192</v>
      </c>
      <c r="M175">
        <v>192</v>
      </c>
      <c r="P175">
        <v>830141404</v>
      </c>
      <c r="W175" t="s">
        <v>851</v>
      </c>
    </row>
    <row r="176" spans="1:23">
      <c r="B176" s="47"/>
      <c r="E176"/>
    </row>
    <row r="177" spans="1:23">
      <c r="A177" t="s">
        <v>192</v>
      </c>
      <c r="B177" s="47" t="s">
        <v>869</v>
      </c>
      <c r="C177">
        <v>15122020</v>
      </c>
      <c r="D177" t="s">
        <v>138</v>
      </c>
      <c r="E177" t="s">
        <v>489</v>
      </c>
      <c r="F177" t="s">
        <v>139</v>
      </c>
      <c r="G177">
        <v>1</v>
      </c>
      <c r="H177">
        <v>40</v>
      </c>
      <c r="J177">
        <v>17120100</v>
      </c>
      <c r="K177" t="s">
        <v>140</v>
      </c>
      <c r="L177">
        <v>75</v>
      </c>
      <c r="M177">
        <v>75</v>
      </c>
      <c r="W177" t="s">
        <v>851</v>
      </c>
    </row>
    <row r="178" spans="1:23">
      <c r="B178" s="47" t="s">
        <v>869</v>
      </c>
      <c r="C178">
        <v>15122020</v>
      </c>
      <c r="D178" t="s">
        <v>138</v>
      </c>
      <c r="E178" t="s">
        <v>489</v>
      </c>
      <c r="F178" t="s">
        <v>139</v>
      </c>
      <c r="G178">
        <v>2</v>
      </c>
      <c r="H178">
        <v>50</v>
      </c>
      <c r="J178">
        <v>56110100</v>
      </c>
      <c r="K178" t="s">
        <v>140</v>
      </c>
      <c r="L178">
        <v>75</v>
      </c>
      <c r="M178">
        <v>75</v>
      </c>
      <c r="P178">
        <v>830141404</v>
      </c>
      <c r="W178" t="s">
        <v>851</v>
      </c>
    </row>
    <row r="179" spans="1:23">
      <c r="B179" s="47"/>
      <c r="E179"/>
    </row>
    <row r="180" spans="1:23">
      <c r="A180" t="s">
        <v>192</v>
      </c>
      <c r="B180" s="47" t="s">
        <v>865</v>
      </c>
      <c r="C180">
        <v>15122020</v>
      </c>
      <c r="D180" t="s">
        <v>138</v>
      </c>
      <c r="E180" t="s">
        <v>495</v>
      </c>
      <c r="F180" t="s">
        <v>139</v>
      </c>
      <c r="G180">
        <v>1</v>
      </c>
      <c r="H180">
        <v>40</v>
      </c>
      <c r="J180">
        <v>17120102</v>
      </c>
      <c r="K180" t="s">
        <v>140</v>
      </c>
      <c r="L180">
        <v>50</v>
      </c>
      <c r="M180">
        <v>50</v>
      </c>
      <c r="W180" t="s">
        <v>851</v>
      </c>
    </row>
    <row r="181" spans="1:23">
      <c r="B181" s="47" t="s">
        <v>865</v>
      </c>
      <c r="C181">
        <v>15122020</v>
      </c>
      <c r="D181" t="s">
        <v>138</v>
      </c>
      <c r="E181" t="s">
        <v>495</v>
      </c>
      <c r="F181" t="s">
        <v>139</v>
      </c>
      <c r="G181">
        <v>2</v>
      </c>
      <c r="H181">
        <v>40</v>
      </c>
      <c r="J181">
        <v>17120103</v>
      </c>
      <c r="K181" t="s">
        <v>140</v>
      </c>
      <c r="L181">
        <v>50</v>
      </c>
      <c r="M181">
        <v>50</v>
      </c>
      <c r="W181" t="s">
        <v>851</v>
      </c>
    </row>
    <row r="182" spans="1:23">
      <c r="B182" s="47" t="s">
        <v>865</v>
      </c>
      <c r="C182">
        <v>15122020</v>
      </c>
      <c r="D182" t="s">
        <v>138</v>
      </c>
      <c r="E182" t="s">
        <v>495</v>
      </c>
      <c r="F182" t="s">
        <v>139</v>
      </c>
      <c r="G182">
        <v>3</v>
      </c>
      <c r="H182">
        <v>50</v>
      </c>
      <c r="J182">
        <v>56110100</v>
      </c>
      <c r="K182" t="s">
        <v>140</v>
      </c>
      <c r="L182">
        <v>100</v>
      </c>
      <c r="M182">
        <v>100</v>
      </c>
      <c r="P182">
        <v>830141404</v>
      </c>
      <c r="W182" t="s">
        <v>851</v>
      </c>
    </row>
    <row r="183" spans="1:23">
      <c r="B183" s="47"/>
      <c r="E183"/>
    </row>
    <row r="184" spans="1:23">
      <c r="A184" t="s">
        <v>479</v>
      </c>
      <c r="B184" s="47" t="s">
        <v>870</v>
      </c>
      <c r="C184">
        <v>15122020</v>
      </c>
      <c r="D184" t="s">
        <v>138</v>
      </c>
      <c r="E184" t="s">
        <v>500</v>
      </c>
      <c r="F184" t="s">
        <v>139</v>
      </c>
      <c r="G184">
        <v>1</v>
      </c>
      <c r="H184">
        <v>40</v>
      </c>
      <c r="J184">
        <v>56110100</v>
      </c>
      <c r="K184" t="s">
        <v>140</v>
      </c>
      <c r="L184">
        <v>100</v>
      </c>
      <c r="M184">
        <v>100</v>
      </c>
      <c r="P184">
        <v>830141404</v>
      </c>
      <c r="W184" t="s">
        <v>851</v>
      </c>
    </row>
    <row r="185" spans="1:23">
      <c r="B185" s="47" t="s">
        <v>870</v>
      </c>
      <c r="C185">
        <v>15122020</v>
      </c>
      <c r="D185" t="s">
        <v>138</v>
      </c>
      <c r="E185" t="s">
        <v>500</v>
      </c>
      <c r="F185" t="s">
        <v>139</v>
      </c>
      <c r="G185">
        <v>2</v>
      </c>
      <c r="H185">
        <v>50</v>
      </c>
      <c r="J185">
        <v>17120102</v>
      </c>
      <c r="K185" t="s">
        <v>140</v>
      </c>
      <c r="L185">
        <v>50</v>
      </c>
      <c r="M185">
        <v>50</v>
      </c>
      <c r="W185" t="s">
        <v>851</v>
      </c>
    </row>
    <row r="186" spans="1:23">
      <c r="B186" s="47" t="s">
        <v>870</v>
      </c>
      <c r="C186">
        <v>15122020</v>
      </c>
      <c r="D186" t="s">
        <v>138</v>
      </c>
      <c r="E186" t="s">
        <v>500</v>
      </c>
      <c r="F186" t="s">
        <v>139</v>
      </c>
      <c r="G186">
        <v>3</v>
      </c>
      <c r="H186">
        <v>50</v>
      </c>
      <c r="J186">
        <v>17120103</v>
      </c>
      <c r="K186" t="s">
        <v>140</v>
      </c>
      <c r="L186">
        <v>50</v>
      </c>
      <c r="M186">
        <v>50</v>
      </c>
      <c r="W186" t="s">
        <v>851</v>
      </c>
    </row>
    <row r="187" spans="1:23">
      <c r="B187" s="47"/>
      <c r="E187"/>
    </row>
    <row r="188" spans="1:23">
      <c r="A188" t="s">
        <v>192</v>
      </c>
      <c r="B188" s="47" t="s">
        <v>859</v>
      </c>
      <c r="C188">
        <v>15122020</v>
      </c>
      <c r="D188" t="s">
        <v>138</v>
      </c>
      <c r="E188" t="s">
        <v>504</v>
      </c>
      <c r="F188" t="s">
        <v>139</v>
      </c>
      <c r="G188">
        <v>1</v>
      </c>
      <c r="H188">
        <v>40</v>
      </c>
      <c r="J188">
        <v>17120100</v>
      </c>
      <c r="K188" t="s">
        <v>140</v>
      </c>
      <c r="L188">
        <v>192</v>
      </c>
      <c r="M188">
        <v>192</v>
      </c>
      <c r="W188" t="s">
        <v>851</v>
      </c>
    </row>
    <row r="189" spans="1:23">
      <c r="B189" s="47" t="s">
        <v>859</v>
      </c>
      <c r="C189">
        <v>15122020</v>
      </c>
      <c r="D189" t="s">
        <v>138</v>
      </c>
      <c r="E189" t="s">
        <v>504</v>
      </c>
      <c r="F189" t="s">
        <v>139</v>
      </c>
      <c r="G189">
        <v>2</v>
      </c>
      <c r="H189">
        <v>50</v>
      </c>
      <c r="J189">
        <v>56110100</v>
      </c>
      <c r="K189" t="s">
        <v>140</v>
      </c>
      <c r="L189">
        <v>192</v>
      </c>
      <c r="M189">
        <v>192</v>
      </c>
      <c r="P189">
        <v>830141404</v>
      </c>
      <c r="W189" t="s">
        <v>851</v>
      </c>
    </row>
    <row r="190" spans="1:23">
      <c r="B190" s="47"/>
      <c r="E190"/>
    </row>
    <row r="191" spans="1:23">
      <c r="A191" t="s">
        <v>192</v>
      </c>
      <c r="B191" s="47" t="s">
        <v>871</v>
      </c>
      <c r="C191">
        <v>15122020</v>
      </c>
      <c r="D191" t="s">
        <v>138</v>
      </c>
      <c r="E191" t="s">
        <v>508</v>
      </c>
      <c r="F191" t="s">
        <v>139</v>
      </c>
      <c r="G191">
        <v>1</v>
      </c>
      <c r="H191">
        <v>40</v>
      </c>
      <c r="J191">
        <v>17120100</v>
      </c>
      <c r="K191" t="s">
        <v>140</v>
      </c>
      <c r="L191">
        <v>70</v>
      </c>
      <c r="M191">
        <v>70</v>
      </c>
      <c r="W191" t="s">
        <v>851</v>
      </c>
    </row>
    <row r="192" spans="1:23">
      <c r="B192" s="47" t="s">
        <v>871</v>
      </c>
      <c r="C192">
        <v>15122020</v>
      </c>
      <c r="D192" t="s">
        <v>138</v>
      </c>
      <c r="E192" t="s">
        <v>508</v>
      </c>
      <c r="F192" t="s">
        <v>139</v>
      </c>
      <c r="G192">
        <v>2</v>
      </c>
      <c r="H192">
        <v>50</v>
      </c>
      <c r="J192">
        <v>56110100</v>
      </c>
      <c r="K192" t="s">
        <v>140</v>
      </c>
      <c r="L192">
        <v>70</v>
      </c>
      <c r="M192">
        <v>70</v>
      </c>
      <c r="P192">
        <v>830141404</v>
      </c>
      <c r="W192" t="s">
        <v>851</v>
      </c>
    </row>
    <row r="193" spans="1:23">
      <c r="B193" s="47"/>
      <c r="E193"/>
    </row>
    <row r="194" spans="1:23">
      <c r="A194" t="s">
        <v>192</v>
      </c>
      <c r="B194" s="47" t="s">
        <v>189</v>
      </c>
      <c r="C194">
        <v>15122020</v>
      </c>
      <c r="D194" t="s">
        <v>138</v>
      </c>
      <c r="E194" t="s">
        <v>513</v>
      </c>
      <c r="F194" t="s">
        <v>139</v>
      </c>
      <c r="G194">
        <v>1</v>
      </c>
      <c r="H194">
        <v>40</v>
      </c>
      <c r="J194">
        <v>17120100</v>
      </c>
      <c r="K194" t="s">
        <v>140</v>
      </c>
      <c r="L194">
        <v>79</v>
      </c>
      <c r="M194">
        <v>79</v>
      </c>
      <c r="W194" t="s">
        <v>851</v>
      </c>
    </row>
    <row r="195" spans="1:23">
      <c r="B195" s="47" t="s">
        <v>189</v>
      </c>
      <c r="C195">
        <v>15122020</v>
      </c>
      <c r="D195" t="s">
        <v>138</v>
      </c>
      <c r="E195" t="s">
        <v>513</v>
      </c>
      <c r="F195" t="s">
        <v>139</v>
      </c>
      <c r="G195">
        <v>2</v>
      </c>
      <c r="H195">
        <v>50</v>
      </c>
      <c r="J195">
        <v>56110100</v>
      </c>
      <c r="K195" t="s">
        <v>140</v>
      </c>
      <c r="L195">
        <v>79</v>
      </c>
      <c r="M195">
        <v>79</v>
      </c>
      <c r="P195">
        <v>830141404</v>
      </c>
      <c r="W195" t="s">
        <v>851</v>
      </c>
    </row>
    <row r="196" spans="1:23">
      <c r="B196" s="47"/>
      <c r="E196"/>
    </row>
    <row r="197" spans="1:23">
      <c r="A197" t="s">
        <v>192</v>
      </c>
      <c r="B197" s="47" t="s">
        <v>863</v>
      </c>
      <c r="C197">
        <v>15122020</v>
      </c>
      <c r="D197" t="s">
        <v>138</v>
      </c>
      <c r="E197" t="s">
        <v>518</v>
      </c>
      <c r="F197" t="s">
        <v>139</v>
      </c>
      <c r="G197">
        <v>1</v>
      </c>
      <c r="H197">
        <v>40</v>
      </c>
      <c r="J197">
        <v>17120100</v>
      </c>
      <c r="K197" t="s">
        <v>140</v>
      </c>
      <c r="L197">
        <v>88</v>
      </c>
      <c r="M197">
        <v>88</v>
      </c>
      <c r="W197" t="s">
        <v>851</v>
      </c>
    </row>
    <row r="198" spans="1:23">
      <c r="B198" s="47" t="s">
        <v>863</v>
      </c>
      <c r="C198">
        <v>15122020</v>
      </c>
      <c r="D198" t="s">
        <v>138</v>
      </c>
      <c r="E198" t="s">
        <v>518</v>
      </c>
      <c r="F198" t="s">
        <v>139</v>
      </c>
      <c r="G198">
        <v>2</v>
      </c>
      <c r="H198">
        <v>50</v>
      </c>
      <c r="J198">
        <v>56110100</v>
      </c>
      <c r="K198" t="s">
        <v>140</v>
      </c>
      <c r="L198">
        <v>88</v>
      </c>
      <c r="M198">
        <v>88</v>
      </c>
      <c r="P198">
        <v>830141404</v>
      </c>
      <c r="W198" t="s">
        <v>851</v>
      </c>
    </row>
    <row r="199" spans="1:23">
      <c r="B199" s="47"/>
      <c r="E199"/>
    </row>
    <row r="200" spans="1:23">
      <c r="A200" t="s">
        <v>192</v>
      </c>
      <c r="B200" s="47" t="s">
        <v>848</v>
      </c>
      <c r="C200">
        <v>15122020</v>
      </c>
      <c r="D200" t="s">
        <v>138</v>
      </c>
      <c r="E200" t="s">
        <v>523</v>
      </c>
      <c r="F200" t="s">
        <v>139</v>
      </c>
      <c r="G200">
        <v>1</v>
      </c>
      <c r="H200">
        <v>40</v>
      </c>
      <c r="J200">
        <v>17120100</v>
      </c>
      <c r="K200" t="s">
        <v>140</v>
      </c>
      <c r="L200">
        <v>115</v>
      </c>
      <c r="M200">
        <v>115</v>
      </c>
      <c r="W200" t="s">
        <v>851</v>
      </c>
    </row>
    <row r="201" spans="1:23">
      <c r="B201" s="47" t="s">
        <v>848</v>
      </c>
      <c r="C201">
        <v>15122020</v>
      </c>
      <c r="D201" t="s">
        <v>138</v>
      </c>
      <c r="E201" t="s">
        <v>523</v>
      </c>
      <c r="F201" t="s">
        <v>139</v>
      </c>
      <c r="G201">
        <v>2</v>
      </c>
      <c r="H201">
        <v>50</v>
      </c>
      <c r="J201">
        <v>56110100</v>
      </c>
      <c r="K201" t="s">
        <v>140</v>
      </c>
      <c r="L201">
        <v>115</v>
      </c>
      <c r="M201">
        <v>115</v>
      </c>
      <c r="P201">
        <v>830141404</v>
      </c>
      <c r="W201" t="s">
        <v>851</v>
      </c>
    </row>
    <row r="202" spans="1:23">
      <c r="B202" s="47"/>
      <c r="E202"/>
    </row>
    <row r="203" spans="1:23">
      <c r="A203" t="s">
        <v>192</v>
      </c>
      <c r="B203" s="47" t="s">
        <v>872</v>
      </c>
      <c r="C203">
        <v>15122020</v>
      </c>
      <c r="D203" t="s">
        <v>138</v>
      </c>
      <c r="E203" t="s">
        <v>530</v>
      </c>
      <c r="F203" t="s">
        <v>139</v>
      </c>
      <c r="G203">
        <v>1</v>
      </c>
      <c r="H203">
        <v>40</v>
      </c>
      <c r="J203">
        <v>17120100</v>
      </c>
      <c r="K203" t="s">
        <v>140</v>
      </c>
      <c r="L203">
        <v>358</v>
      </c>
      <c r="M203">
        <v>358</v>
      </c>
      <c r="W203" t="s">
        <v>851</v>
      </c>
    </row>
    <row r="204" spans="1:23">
      <c r="B204" s="47" t="s">
        <v>872</v>
      </c>
      <c r="C204">
        <v>15122020</v>
      </c>
      <c r="D204" t="s">
        <v>138</v>
      </c>
      <c r="E204" t="s">
        <v>530</v>
      </c>
      <c r="F204" t="s">
        <v>139</v>
      </c>
      <c r="G204">
        <v>2</v>
      </c>
      <c r="H204">
        <v>50</v>
      </c>
      <c r="J204">
        <v>56110100</v>
      </c>
      <c r="K204" t="s">
        <v>140</v>
      </c>
      <c r="L204">
        <v>358</v>
      </c>
      <c r="M204">
        <v>358</v>
      </c>
      <c r="P204">
        <v>830141404</v>
      </c>
      <c r="W204" t="s">
        <v>851</v>
      </c>
    </row>
    <row r="205" spans="1:23">
      <c r="B205" s="47"/>
      <c r="E205"/>
    </row>
    <row r="206" spans="1:23">
      <c r="A206" t="s">
        <v>192</v>
      </c>
      <c r="B206" s="47" t="s">
        <v>853</v>
      </c>
      <c r="C206">
        <v>15122020</v>
      </c>
      <c r="D206" t="s">
        <v>138</v>
      </c>
      <c r="E206" t="s">
        <v>537</v>
      </c>
      <c r="F206" t="s">
        <v>139</v>
      </c>
      <c r="G206">
        <v>1</v>
      </c>
      <c r="H206">
        <v>40</v>
      </c>
      <c r="J206">
        <v>17120100</v>
      </c>
      <c r="K206" t="s">
        <v>140</v>
      </c>
      <c r="L206">
        <v>75</v>
      </c>
      <c r="M206">
        <v>75</v>
      </c>
      <c r="W206" t="s">
        <v>851</v>
      </c>
    </row>
    <row r="207" spans="1:23">
      <c r="B207" s="47" t="s">
        <v>853</v>
      </c>
      <c r="C207">
        <v>15122020</v>
      </c>
      <c r="D207" t="s">
        <v>138</v>
      </c>
      <c r="E207" t="s">
        <v>537</v>
      </c>
      <c r="F207" t="s">
        <v>139</v>
      </c>
      <c r="G207">
        <v>2</v>
      </c>
      <c r="H207">
        <v>50</v>
      </c>
      <c r="J207">
        <v>56110100</v>
      </c>
      <c r="K207" t="s">
        <v>140</v>
      </c>
      <c r="L207">
        <v>75</v>
      </c>
      <c r="M207">
        <v>75</v>
      </c>
      <c r="P207">
        <v>830141404</v>
      </c>
      <c r="W207" t="s">
        <v>851</v>
      </c>
    </row>
    <row r="208" spans="1:23">
      <c r="B208" s="47"/>
      <c r="E208"/>
    </row>
    <row r="209" spans="1:23">
      <c r="A209" t="s">
        <v>192</v>
      </c>
      <c r="B209" s="47" t="s">
        <v>873</v>
      </c>
      <c r="C209">
        <v>15122020</v>
      </c>
      <c r="D209" t="s">
        <v>138</v>
      </c>
      <c r="E209" t="s">
        <v>542</v>
      </c>
      <c r="F209" t="s">
        <v>139</v>
      </c>
      <c r="G209">
        <v>1</v>
      </c>
      <c r="H209">
        <v>40</v>
      </c>
      <c r="J209">
        <v>17120100</v>
      </c>
      <c r="K209" t="s">
        <v>140</v>
      </c>
      <c r="L209">
        <v>223</v>
      </c>
      <c r="M209">
        <v>223</v>
      </c>
      <c r="W209" t="s">
        <v>851</v>
      </c>
    </row>
    <row r="210" spans="1:23">
      <c r="B210" s="47" t="s">
        <v>873</v>
      </c>
      <c r="C210">
        <v>15122020</v>
      </c>
      <c r="D210" t="s">
        <v>138</v>
      </c>
      <c r="E210" t="s">
        <v>542</v>
      </c>
      <c r="F210" t="s">
        <v>139</v>
      </c>
      <c r="G210">
        <v>2</v>
      </c>
      <c r="H210">
        <v>50</v>
      </c>
      <c r="J210">
        <v>56110100</v>
      </c>
      <c r="K210" t="s">
        <v>140</v>
      </c>
      <c r="L210">
        <v>223</v>
      </c>
      <c r="M210">
        <v>223</v>
      </c>
      <c r="P210">
        <v>830141404</v>
      </c>
      <c r="W210" t="s">
        <v>851</v>
      </c>
    </row>
    <row r="211" spans="1:23">
      <c r="B211" s="47"/>
      <c r="E211"/>
    </row>
    <row r="212" spans="1:23">
      <c r="A212" t="s">
        <v>192</v>
      </c>
      <c r="B212" s="47" t="s">
        <v>865</v>
      </c>
      <c r="C212">
        <v>15122020</v>
      </c>
      <c r="D212" t="s">
        <v>138</v>
      </c>
      <c r="E212" t="s">
        <v>548</v>
      </c>
      <c r="F212" t="s">
        <v>139</v>
      </c>
      <c r="G212">
        <v>1</v>
      </c>
      <c r="H212">
        <v>40</v>
      </c>
      <c r="J212">
        <v>17120102</v>
      </c>
      <c r="K212" t="s">
        <v>140</v>
      </c>
      <c r="L212">
        <v>46</v>
      </c>
      <c r="M212">
        <v>46</v>
      </c>
      <c r="W212" t="s">
        <v>851</v>
      </c>
    </row>
    <row r="213" spans="1:23">
      <c r="B213" s="47" t="s">
        <v>865</v>
      </c>
      <c r="C213">
        <v>15122020</v>
      </c>
      <c r="D213" t="s">
        <v>138</v>
      </c>
      <c r="E213" t="s">
        <v>548</v>
      </c>
      <c r="F213" t="s">
        <v>139</v>
      </c>
      <c r="G213">
        <v>2</v>
      </c>
      <c r="H213">
        <v>40</v>
      </c>
      <c r="J213">
        <v>17120103</v>
      </c>
      <c r="K213" t="s">
        <v>140</v>
      </c>
      <c r="L213">
        <v>46</v>
      </c>
      <c r="M213">
        <v>46</v>
      </c>
      <c r="W213" t="s">
        <v>851</v>
      </c>
    </row>
    <row r="214" spans="1:23">
      <c r="B214" s="47" t="s">
        <v>865</v>
      </c>
      <c r="C214">
        <v>15122020</v>
      </c>
      <c r="D214" t="s">
        <v>138</v>
      </c>
      <c r="E214" t="s">
        <v>548</v>
      </c>
      <c r="F214" t="s">
        <v>139</v>
      </c>
      <c r="G214">
        <v>3</v>
      </c>
      <c r="H214">
        <v>50</v>
      </c>
      <c r="J214">
        <v>56110100</v>
      </c>
      <c r="K214" t="s">
        <v>140</v>
      </c>
      <c r="L214">
        <v>92</v>
      </c>
      <c r="M214">
        <v>92</v>
      </c>
      <c r="P214">
        <v>830141404</v>
      </c>
      <c r="W214" t="s">
        <v>851</v>
      </c>
    </row>
    <row r="215" spans="1:23">
      <c r="B215" s="47"/>
      <c r="E215"/>
    </row>
    <row r="216" spans="1:23">
      <c r="A216" t="s">
        <v>479</v>
      </c>
      <c r="B216" s="47" t="s">
        <v>870</v>
      </c>
      <c r="C216">
        <v>15122020</v>
      </c>
      <c r="D216" t="s">
        <v>138</v>
      </c>
      <c r="E216" t="s">
        <v>553</v>
      </c>
      <c r="F216" t="s">
        <v>139</v>
      </c>
      <c r="G216">
        <v>1</v>
      </c>
      <c r="H216">
        <v>40</v>
      </c>
      <c r="J216">
        <v>56110100</v>
      </c>
      <c r="K216" t="s">
        <v>140</v>
      </c>
      <c r="L216">
        <v>92</v>
      </c>
      <c r="M216">
        <v>92</v>
      </c>
      <c r="P216">
        <v>830141404</v>
      </c>
      <c r="W216" t="s">
        <v>851</v>
      </c>
    </row>
    <row r="217" spans="1:23">
      <c r="B217" s="47" t="s">
        <v>870</v>
      </c>
      <c r="C217">
        <v>15122020</v>
      </c>
      <c r="D217" t="s">
        <v>138</v>
      </c>
      <c r="E217" t="s">
        <v>553</v>
      </c>
      <c r="F217" t="s">
        <v>139</v>
      </c>
      <c r="G217">
        <v>2</v>
      </c>
      <c r="H217">
        <v>50</v>
      </c>
      <c r="J217">
        <v>17120102</v>
      </c>
      <c r="K217" t="s">
        <v>140</v>
      </c>
      <c r="L217">
        <v>46</v>
      </c>
      <c r="M217">
        <v>46</v>
      </c>
      <c r="W217" t="s">
        <v>851</v>
      </c>
    </row>
    <row r="218" spans="1:23">
      <c r="B218" s="47" t="s">
        <v>870</v>
      </c>
      <c r="C218">
        <v>15122020</v>
      </c>
      <c r="D218" t="s">
        <v>138</v>
      </c>
      <c r="E218" t="s">
        <v>553</v>
      </c>
      <c r="F218" t="s">
        <v>139</v>
      </c>
      <c r="G218">
        <v>3</v>
      </c>
      <c r="H218">
        <v>50</v>
      </c>
      <c r="J218">
        <v>17120103</v>
      </c>
      <c r="K218" t="s">
        <v>140</v>
      </c>
      <c r="L218">
        <v>46</v>
      </c>
      <c r="M218">
        <v>46</v>
      </c>
      <c r="W218" t="s">
        <v>851</v>
      </c>
    </row>
    <row r="219" spans="1:23">
      <c r="B219" s="47"/>
      <c r="E219"/>
    </row>
    <row r="220" spans="1:23">
      <c r="A220" t="s">
        <v>192</v>
      </c>
      <c r="B220" s="47" t="s">
        <v>864</v>
      </c>
      <c r="C220">
        <v>15122020</v>
      </c>
      <c r="D220" t="s">
        <v>138</v>
      </c>
      <c r="E220" t="s">
        <v>556</v>
      </c>
      <c r="F220" t="s">
        <v>139</v>
      </c>
      <c r="G220">
        <v>1</v>
      </c>
      <c r="H220">
        <v>40</v>
      </c>
      <c r="J220">
        <v>17120100</v>
      </c>
      <c r="K220" t="s">
        <v>140</v>
      </c>
      <c r="L220">
        <v>94</v>
      </c>
      <c r="M220">
        <v>94</v>
      </c>
      <c r="W220" t="s">
        <v>851</v>
      </c>
    </row>
    <row r="221" spans="1:23">
      <c r="B221" s="47" t="s">
        <v>864</v>
      </c>
      <c r="C221">
        <v>15122020</v>
      </c>
      <c r="D221" t="s">
        <v>138</v>
      </c>
      <c r="E221" t="s">
        <v>556</v>
      </c>
      <c r="F221" t="s">
        <v>139</v>
      </c>
      <c r="G221">
        <v>2</v>
      </c>
      <c r="H221">
        <v>50</v>
      </c>
      <c r="J221">
        <v>56110100</v>
      </c>
      <c r="K221" t="s">
        <v>140</v>
      </c>
      <c r="L221">
        <v>94</v>
      </c>
      <c r="M221">
        <v>94</v>
      </c>
      <c r="P221">
        <v>830141404</v>
      </c>
      <c r="W221" t="s">
        <v>851</v>
      </c>
    </row>
    <row r="222" spans="1:23">
      <c r="B222" s="47"/>
      <c r="E222"/>
    </row>
    <row r="223" spans="1:23">
      <c r="A223" t="s">
        <v>192</v>
      </c>
      <c r="B223" s="47" t="s">
        <v>864</v>
      </c>
      <c r="C223">
        <v>15122020</v>
      </c>
      <c r="D223" t="s">
        <v>138</v>
      </c>
      <c r="E223" t="s">
        <v>561</v>
      </c>
      <c r="F223" t="s">
        <v>139</v>
      </c>
      <c r="G223">
        <v>1</v>
      </c>
      <c r="H223">
        <v>40</v>
      </c>
      <c r="J223">
        <v>17120102</v>
      </c>
      <c r="K223" t="s">
        <v>140</v>
      </c>
      <c r="L223">
        <v>34</v>
      </c>
      <c r="M223">
        <v>34</v>
      </c>
      <c r="W223" t="s">
        <v>851</v>
      </c>
    </row>
    <row r="224" spans="1:23">
      <c r="B224" s="47" t="s">
        <v>864</v>
      </c>
      <c r="C224">
        <v>15122020</v>
      </c>
      <c r="D224" t="s">
        <v>138</v>
      </c>
      <c r="E224" t="s">
        <v>561</v>
      </c>
      <c r="F224" t="s">
        <v>139</v>
      </c>
      <c r="G224">
        <v>2</v>
      </c>
      <c r="H224">
        <v>40</v>
      </c>
      <c r="J224">
        <v>17120103</v>
      </c>
      <c r="K224" t="s">
        <v>140</v>
      </c>
      <c r="L224">
        <v>34</v>
      </c>
      <c r="M224">
        <v>34</v>
      </c>
      <c r="W224" t="s">
        <v>851</v>
      </c>
    </row>
    <row r="225" spans="1:23">
      <c r="B225" s="47" t="s">
        <v>864</v>
      </c>
      <c r="C225">
        <v>15122020</v>
      </c>
      <c r="D225" t="s">
        <v>138</v>
      </c>
      <c r="E225" t="s">
        <v>561</v>
      </c>
      <c r="F225" t="s">
        <v>139</v>
      </c>
      <c r="G225">
        <v>3</v>
      </c>
      <c r="H225">
        <v>50</v>
      </c>
      <c r="J225">
        <v>56110100</v>
      </c>
      <c r="K225" t="s">
        <v>140</v>
      </c>
      <c r="L225">
        <v>68</v>
      </c>
      <c r="M225">
        <v>68</v>
      </c>
      <c r="P225">
        <v>830141404</v>
      </c>
      <c r="W225" t="s">
        <v>851</v>
      </c>
    </row>
    <row r="226" spans="1:23">
      <c r="B226" s="47"/>
      <c r="E226"/>
    </row>
    <row r="227" spans="1:23">
      <c r="A227" t="s">
        <v>192</v>
      </c>
      <c r="B227" s="47" t="s">
        <v>866</v>
      </c>
      <c r="C227">
        <v>15122020</v>
      </c>
      <c r="D227" t="s">
        <v>138</v>
      </c>
      <c r="E227" t="s">
        <v>564</v>
      </c>
      <c r="F227" t="s">
        <v>139</v>
      </c>
      <c r="G227">
        <v>1</v>
      </c>
      <c r="H227">
        <v>40</v>
      </c>
      <c r="J227">
        <v>17120102</v>
      </c>
      <c r="K227" t="s">
        <v>140</v>
      </c>
      <c r="L227">
        <v>83</v>
      </c>
      <c r="M227">
        <v>83</v>
      </c>
      <c r="W227" t="s">
        <v>851</v>
      </c>
    </row>
    <row r="228" spans="1:23">
      <c r="B228" s="47" t="s">
        <v>866</v>
      </c>
      <c r="C228">
        <v>15122020</v>
      </c>
      <c r="D228" t="s">
        <v>138</v>
      </c>
      <c r="E228" t="s">
        <v>564</v>
      </c>
      <c r="F228" t="s">
        <v>139</v>
      </c>
      <c r="G228">
        <v>2</v>
      </c>
      <c r="H228">
        <v>40</v>
      </c>
      <c r="J228">
        <v>17120103</v>
      </c>
      <c r="K228" t="s">
        <v>140</v>
      </c>
      <c r="L228">
        <v>83</v>
      </c>
      <c r="M228">
        <v>83</v>
      </c>
      <c r="W228" t="s">
        <v>851</v>
      </c>
    </row>
    <row r="229" spans="1:23">
      <c r="B229" s="47" t="s">
        <v>866</v>
      </c>
      <c r="C229">
        <v>15122020</v>
      </c>
      <c r="D229" t="s">
        <v>138</v>
      </c>
      <c r="E229" t="s">
        <v>564</v>
      </c>
      <c r="F229" t="s">
        <v>139</v>
      </c>
      <c r="G229">
        <v>3</v>
      </c>
      <c r="H229">
        <v>50</v>
      </c>
      <c r="J229">
        <v>56110100</v>
      </c>
      <c r="K229" t="s">
        <v>140</v>
      </c>
      <c r="L229">
        <v>166</v>
      </c>
      <c r="M229">
        <v>166</v>
      </c>
      <c r="P229">
        <v>830141404</v>
      </c>
      <c r="W229" t="s">
        <v>851</v>
      </c>
    </row>
    <row r="230" spans="1:23">
      <c r="B230" s="47"/>
      <c r="E230"/>
    </row>
    <row r="231" spans="1:23">
      <c r="A231" t="s">
        <v>192</v>
      </c>
      <c r="B231" s="47" t="s">
        <v>866</v>
      </c>
      <c r="C231">
        <v>15122020</v>
      </c>
      <c r="D231" t="s">
        <v>138</v>
      </c>
      <c r="E231" t="s">
        <v>569</v>
      </c>
      <c r="F231" t="s">
        <v>139</v>
      </c>
      <c r="G231">
        <v>1</v>
      </c>
      <c r="H231">
        <v>40</v>
      </c>
      <c r="J231">
        <v>17120102</v>
      </c>
      <c r="K231" t="s">
        <v>140</v>
      </c>
      <c r="L231">
        <v>45</v>
      </c>
      <c r="M231">
        <v>45</v>
      </c>
      <c r="W231" t="s">
        <v>851</v>
      </c>
    </row>
    <row r="232" spans="1:23">
      <c r="B232" s="47" t="s">
        <v>866</v>
      </c>
      <c r="C232">
        <v>15122020</v>
      </c>
      <c r="D232" t="s">
        <v>138</v>
      </c>
      <c r="E232" t="s">
        <v>569</v>
      </c>
      <c r="F232" t="s">
        <v>139</v>
      </c>
      <c r="G232">
        <v>2</v>
      </c>
      <c r="H232">
        <v>40</v>
      </c>
      <c r="J232">
        <v>17120103</v>
      </c>
      <c r="K232" t="s">
        <v>140</v>
      </c>
      <c r="L232">
        <v>45</v>
      </c>
      <c r="M232">
        <v>45</v>
      </c>
      <c r="W232" t="s">
        <v>851</v>
      </c>
    </row>
    <row r="233" spans="1:23">
      <c r="B233" s="47" t="s">
        <v>866</v>
      </c>
      <c r="C233">
        <v>15122020</v>
      </c>
      <c r="D233" t="s">
        <v>138</v>
      </c>
      <c r="E233" t="s">
        <v>569</v>
      </c>
      <c r="F233" t="s">
        <v>139</v>
      </c>
      <c r="G233">
        <v>3</v>
      </c>
      <c r="H233">
        <v>50</v>
      </c>
      <c r="J233">
        <v>56110100</v>
      </c>
      <c r="K233" t="s">
        <v>140</v>
      </c>
      <c r="L233">
        <v>90</v>
      </c>
      <c r="M233">
        <v>90</v>
      </c>
      <c r="P233">
        <v>830141404</v>
      </c>
      <c r="W233" t="s">
        <v>851</v>
      </c>
    </row>
    <row r="234" spans="1:23">
      <c r="B234" s="47"/>
      <c r="E234"/>
    </row>
    <row r="235" spans="1:23">
      <c r="A235" t="s">
        <v>192</v>
      </c>
      <c r="B235" s="47" t="s">
        <v>865</v>
      </c>
      <c r="C235">
        <v>15122020</v>
      </c>
      <c r="D235" t="s">
        <v>138</v>
      </c>
      <c r="E235" t="s">
        <v>572</v>
      </c>
      <c r="F235" t="s">
        <v>139</v>
      </c>
      <c r="G235">
        <v>1</v>
      </c>
      <c r="H235">
        <v>40</v>
      </c>
      <c r="J235">
        <v>17120102</v>
      </c>
      <c r="K235" t="s">
        <v>140</v>
      </c>
      <c r="L235">
        <v>46</v>
      </c>
      <c r="M235">
        <v>46</v>
      </c>
      <c r="W235" t="s">
        <v>851</v>
      </c>
    </row>
    <row r="236" spans="1:23">
      <c r="B236" s="47" t="s">
        <v>865</v>
      </c>
      <c r="C236">
        <v>15122020</v>
      </c>
      <c r="D236" t="s">
        <v>138</v>
      </c>
      <c r="E236" t="s">
        <v>572</v>
      </c>
      <c r="F236" t="s">
        <v>139</v>
      </c>
      <c r="G236">
        <v>2</v>
      </c>
      <c r="H236">
        <v>40</v>
      </c>
      <c r="J236">
        <v>17120103</v>
      </c>
      <c r="K236" t="s">
        <v>140</v>
      </c>
      <c r="L236">
        <v>46</v>
      </c>
      <c r="M236">
        <v>46</v>
      </c>
      <c r="W236" t="s">
        <v>851</v>
      </c>
    </row>
    <row r="237" spans="1:23">
      <c r="B237" s="47" t="s">
        <v>865</v>
      </c>
      <c r="C237">
        <v>15122020</v>
      </c>
      <c r="D237" t="s">
        <v>138</v>
      </c>
      <c r="E237" t="s">
        <v>572</v>
      </c>
      <c r="F237" t="s">
        <v>139</v>
      </c>
      <c r="G237">
        <v>3</v>
      </c>
      <c r="H237">
        <v>50</v>
      </c>
      <c r="J237">
        <v>56110100</v>
      </c>
      <c r="K237" t="s">
        <v>140</v>
      </c>
      <c r="L237">
        <v>92</v>
      </c>
      <c r="M237">
        <v>92</v>
      </c>
      <c r="P237">
        <v>830141404</v>
      </c>
      <c r="W237" t="s">
        <v>851</v>
      </c>
    </row>
    <row r="238" spans="1:23">
      <c r="B238" s="47"/>
      <c r="E238"/>
    </row>
    <row r="239" spans="1:23">
      <c r="A239" t="s">
        <v>479</v>
      </c>
      <c r="B239" s="47" t="s">
        <v>870</v>
      </c>
      <c r="C239">
        <v>15122020</v>
      </c>
      <c r="D239" t="s">
        <v>138</v>
      </c>
      <c r="E239" t="s">
        <v>577</v>
      </c>
      <c r="F239" t="s">
        <v>139</v>
      </c>
      <c r="G239">
        <v>1</v>
      </c>
      <c r="H239">
        <v>40</v>
      </c>
      <c r="J239">
        <v>56110100</v>
      </c>
      <c r="K239" t="s">
        <v>140</v>
      </c>
      <c r="L239">
        <v>92</v>
      </c>
      <c r="M239">
        <v>92</v>
      </c>
      <c r="P239">
        <v>830141404</v>
      </c>
      <c r="W239" t="s">
        <v>851</v>
      </c>
    </row>
    <row r="240" spans="1:23">
      <c r="B240" s="47" t="s">
        <v>870</v>
      </c>
      <c r="C240">
        <v>15122020</v>
      </c>
      <c r="D240" t="s">
        <v>138</v>
      </c>
      <c r="E240" t="s">
        <v>577</v>
      </c>
      <c r="F240" t="s">
        <v>139</v>
      </c>
      <c r="G240">
        <v>2</v>
      </c>
      <c r="H240">
        <v>50</v>
      </c>
      <c r="J240">
        <v>17120102</v>
      </c>
      <c r="K240" t="s">
        <v>140</v>
      </c>
      <c r="L240">
        <v>46</v>
      </c>
      <c r="M240">
        <v>46</v>
      </c>
      <c r="W240" t="s">
        <v>851</v>
      </c>
    </row>
    <row r="241" spans="1:23">
      <c r="B241" s="47" t="s">
        <v>870</v>
      </c>
      <c r="C241">
        <v>15122020</v>
      </c>
      <c r="D241" t="s">
        <v>138</v>
      </c>
      <c r="E241" t="s">
        <v>577</v>
      </c>
      <c r="F241" t="s">
        <v>139</v>
      </c>
      <c r="G241">
        <v>3</v>
      </c>
      <c r="H241">
        <v>50</v>
      </c>
      <c r="J241">
        <v>17120103</v>
      </c>
      <c r="K241" t="s">
        <v>140</v>
      </c>
      <c r="L241">
        <v>46</v>
      </c>
      <c r="M241">
        <v>46</v>
      </c>
      <c r="W241" t="s">
        <v>851</v>
      </c>
    </row>
    <row r="242" spans="1:23">
      <c r="B242" s="47"/>
      <c r="E242"/>
    </row>
    <row r="243" spans="1:23">
      <c r="A243" t="s">
        <v>192</v>
      </c>
      <c r="B243" s="47" t="s">
        <v>859</v>
      </c>
      <c r="C243">
        <v>15122020</v>
      </c>
      <c r="D243" t="s">
        <v>138</v>
      </c>
      <c r="E243" t="s">
        <v>580</v>
      </c>
      <c r="F243" t="s">
        <v>139</v>
      </c>
      <c r="G243">
        <v>1</v>
      </c>
      <c r="H243">
        <v>40</v>
      </c>
      <c r="J243">
        <v>17120102</v>
      </c>
      <c r="K243" t="s">
        <v>140</v>
      </c>
      <c r="L243">
        <v>34</v>
      </c>
      <c r="M243">
        <v>34</v>
      </c>
      <c r="W243" t="s">
        <v>851</v>
      </c>
    </row>
    <row r="244" spans="1:23">
      <c r="B244" s="47" t="s">
        <v>859</v>
      </c>
      <c r="C244">
        <v>15122020</v>
      </c>
      <c r="D244" t="s">
        <v>138</v>
      </c>
      <c r="E244" t="s">
        <v>580</v>
      </c>
      <c r="F244" t="s">
        <v>139</v>
      </c>
      <c r="G244">
        <v>2</v>
      </c>
      <c r="H244">
        <v>40</v>
      </c>
      <c r="J244">
        <v>17120103</v>
      </c>
      <c r="K244" t="s">
        <v>140</v>
      </c>
      <c r="L244">
        <v>34</v>
      </c>
      <c r="M244">
        <v>34</v>
      </c>
      <c r="W244" t="s">
        <v>851</v>
      </c>
    </row>
    <row r="245" spans="1:23">
      <c r="B245" s="47" t="s">
        <v>859</v>
      </c>
      <c r="C245">
        <v>15122020</v>
      </c>
      <c r="D245" t="s">
        <v>138</v>
      </c>
      <c r="E245" t="s">
        <v>580</v>
      </c>
      <c r="F245" t="s">
        <v>139</v>
      </c>
      <c r="G245">
        <v>3</v>
      </c>
      <c r="H245">
        <v>50</v>
      </c>
      <c r="J245">
        <v>56110100</v>
      </c>
      <c r="K245" t="s">
        <v>140</v>
      </c>
      <c r="L245">
        <v>68</v>
      </c>
      <c r="M245">
        <v>68</v>
      </c>
      <c r="P245">
        <v>830141404</v>
      </c>
      <c r="W245" t="s">
        <v>851</v>
      </c>
    </row>
    <row r="246" spans="1:23">
      <c r="B246" s="47"/>
      <c r="E246"/>
    </row>
    <row r="247" spans="1:23">
      <c r="A247" t="s">
        <v>192</v>
      </c>
      <c r="B247" s="47" t="s">
        <v>866</v>
      </c>
      <c r="C247">
        <v>15122020</v>
      </c>
      <c r="D247" t="s">
        <v>138</v>
      </c>
      <c r="E247" t="s">
        <v>584</v>
      </c>
      <c r="F247" t="s">
        <v>139</v>
      </c>
      <c r="G247">
        <v>1</v>
      </c>
      <c r="H247">
        <v>40</v>
      </c>
      <c r="J247">
        <v>17120102</v>
      </c>
      <c r="K247" t="s">
        <v>140</v>
      </c>
      <c r="L247">
        <v>83</v>
      </c>
      <c r="M247">
        <v>83</v>
      </c>
      <c r="W247" t="s">
        <v>851</v>
      </c>
    </row>
    <row r="248" spans="1:23">
      <c r="B248" s="47" t="s">
        <v>866</v>
      </c>
      <c r="C248">
        <v>15122020</v>
      </c>
      <c r="D248" t="s">
        <v>138</v>
      </c>
      <c r="E248" t="s">
        <v>584</v>
      </c>
      <c r="F248" t="s">
        <v>139</v>
      </c>
      <c r="G248">
        <v>2</v>
      </c>
      <c r="H248">
        <v>40</v>
      </c>
      <c r="J248">
        <v>17120103</v>
      </c>
      <c r="K248" t="s">
        <v>140</v>
      </c>
      <c r="L248">
        <v>83</v>
      </c>
      <c r="M248">
        <v>83</v>
      </c>
      <c r="W248" t="s">
        <v>851</v>
      </c>
    </row>
    <row r="249" spans="1:23">
      <c r="B249" s="47" t="s">
        <v>866</v>
      </c>
      <c r="C249">
        <v>15122020</v>
      </c>
      <c r="D249" t="s">
        <v>138</v>
      </c>
      <c r="E249" t="s">
        <v>584</v>
      </c>
      <c r="F249" t="s">
        <v>139</v>
      </c>
      <c r="G249">
        <v>3</v>
      </c>
      <c r="H249">
        <v>50</v>
      </c>
      <c r="J249">
        <v>56110100</v>
      </c>
      <c r="K249" t="s">
        <v>140</v>
      </c>
      <c r="L249">
        <v>166</v>
      </c>
      <c r="M249">
        <v>166</v>
      </c>
      <c r="P249">
        <v>830141404</v>
      </c>
      <c r="W249" t="s">
        <v>851</v>
      </c>
    </row>
    <row r="250" spans="1:23">
      <c r="B250" s="47"/>
      <c r="E250"/>
    </row>
    <row r="251" spans="1:23">
      <c r="A251" t="s">
        <v>192</v>
      </c>
      <c r="B251" s="47" t="s">
        <v>186</v>
      </c>
      <c r="C251">
        <v>15122020</v>
      </c>
      <c r="D251" t="s">
        <v>138</v>
      </c>
      <c r="E251" t="s">
        <v>588</v>
      </c>
      <c r="F251" t="s">
        <v>139</v>
      </c>
      <c r="G251">
        <v>1</v>
      </c>
      <c r="H251">
        <v>40</v>
      </c>
      <c r="J251">
        <v>17120100</v>
      </c>
      <c r="K251" t="s">
        <v>140</v>
      </c>
      <c r="L251">
        <v>79</v>
      </c>
      <c r="M251">
        <v>79</v>
      </c>
      <c r="W251" t="s">
        <v>851</v>
      </c>
    </row>
    <row r="252" spans="1:23">
      <c r="B252" s="47" t="s">
        <v>186</v>
      </c>
      <c r="C252">
        <v>15122020</v>
      </c>
      <c r="D252" t="s">
        <v>138</v>
      </c>
      <c r="E252" t="s">
        <v>588</v>
      </c>
      <c r="F252" t="s">
        <v>139</v>
      </c>
      <c r="G252">
        <v>2</v>
      </c>
      <c r="H252">
        <v>50</v>
      </c>
      <c r="J252">
        <v>56110100</v>
      </c>
      <c r="K252" t="s">
        <v>140</v>
      </c>
      <c r="L252">
        <v>79</v>
      </c>
      <c r="M252">
        <v>79</v>
      </c>
      <c r="P252">
        <v>830141404</v>
      </c>
      <c r="W252" t="s">
        <v>851</v>
      </c>
    </row>
    <row r="253" spans="1:23">
      <c r="B253" s="47"/>
      <c r="E253"/>
    </row>
    <row r="254" spans="1:23">
      <c r="A254" t="s">
        <v>192</v>
      </c>
      <c r="B254" s="47" t="s">
        <v>849</v>
      </c>
      <c r="C254">
        <v>15122020</v>
      </c>
      <c r="D254" t="s">
        <v>138</v>
      </c>
      <c r="E254" t="s">
        <v>593</v>
      </c>
      <c r="F254" t="s">
        <v>139</v>
      </c>
      <c r="G254">
        <v>1</v>
      </c>
      <c r="H254">
        <v>40</v>
      </c>
      <c r="J254">
        <v>17120100</v>
      </c>
      <c r="K254" t="s">
        <v>140</v>
      </c>
      <c r="L254">
        <v>98</v>
      </c>
      <c r="M254">
        <v>98</v>
      </c>
      <c r="W254" t="s">
        <v>851</v>
      </c>
    </row>
    <row r="255" spans="1:23">
      <c r="B255" s="47" t="s">
        <v>849</v>
      </c>
      <c r="C255">
        <v>15122020</v>
      </c>
      <c r="D255" t="s">
        <v>138</v>
      </c>
      <c r="E255" t="s">
        <v>593</v>
      </c>
      <c r="F255" t="s">
        <v>139</v>
      </c>
      <c r="G255">
        <v>2</v>
      </c>
      <c r="H255">
        <v>50</v>
      </c>
      <c r="J255">
        <v>56110100</v>
      </c>
      <c r="K255" t="s">
        <v>140</v>
      </c>
      <c r="L255">
        <v>98</v>
      </c>
      <c r="M255">
        <v>98</v>
      </c>
      <c r="P255">
        <v>830141404</v>
      </c>
      <c r="W255" t="s">
        <v>851</v>
      </c>
    </row>
    <row r="256" spans="1:23">
      <c r="B256" s="47"/>
      <c r="E256"/>
    </row>
    <row r="257" spans="1:23">
      <c r="A257" t="s">
        <v>192</v>
      </c>
      <c r="B257" s="47" t="s">
        <v>866</v>
      </c>
      <c r="C257">
        <v>15122020</v>
      </c>
      <c r="D257" t="s">
        <v>138</v>
      </c>
      <c r="E257" t="s">
        <v>599</v>
      </c>
      <c r="F257" t="s">
        <v>139</v>
      </c>
      <c r="G257">
        <v>1</v>
      </c>
      <c r="H257">
        <v>40</v>
      </c>
      <c r="J257">
        <v>17120102</v>
      </c>
      <c r="K257" t="s">
        <v>140</v>
      </c>
      <c r="L257">
        <v>66</v>
      </c>
      <c r="M257">
        <v>66</v>
      </c>
      <c r="W257" t="s">
        <v>851</v>
      </c>
    </row>
    <row r="258" spans="1:23">
      <c r="B258" s="47" t="s">
        <v>866</v>
      </c>
      <c r="C258">
        <v>15122020</v>
      </c>
      <c r="D258" t="s">
        <v>138</v>
      </c>
      <c r="E258" t="s">
        <v>599</v>
      </c>
      <c r="F258" t="s">
        <v>139</v>
      </c>
      <c r="G258">
        <v>2</v>
      </c>
      <c r="H258">
        <v>40</v>
      </c>
      <c r="J258">
        <v>17120103</v>
      </c>
      <c r="K258" t="s">
        <v>140</v>
      </c>
      <c r="L258">
        <v>66</v>
      </c>
      <c r="M258">
        <v>66</v>
      </c>
      <c r="W258" t="s">
        <v>851</v>
      </c>
    </row>
    <row r="259" spans="1:23">
      <c r="B259" s="47" t="s">
        <v>866</v>
      </c>
      <c r="C259">
        <v>15122020</v>
      </c>
      <c r="D259" t="s">
        <v>138</v>
      </c>
      <c r="E259" t="s">
        <v>599</v>
      </c>
      <c r="F259" t="s">
        <v>139</v>
      </c>
      <c r="G259">
        <v>3</v>
      </c>
      <c r="H259">
        <v>50</v>
      </c>
      <c r="J259">
        <v>56110100</v>
      </c>
      <c r="K259" t="s">
        <v>140</v>
      </c>
      <c r="L259">
        <v>132</v>
      </c>
      <c r="M259">
        <v>132</v>
      </c>
      <c r="P259">
        <v>830141404</v>
      </c>
      <c r="W259" t="s">
        <v>851</v>
      </c>
    </row>
    <row r="260" spans="1:23">
      <c r="B260" s="47"/>
      <c r="E260"/>
    </row>
    <row r="261" spans="1:23">
      <c r="A261" t="s">
        <v>192</v>
      </c>
      <c r="B261" s="47" t="s">
        <v>866</v>
      </c>
      <c r="C261">
        <v>15122020</v>
      </c>
      <c r="D261" t="s">
        <v>138</v>
      </c>
      <c r="E261" t="s">
        <v>604</v>
      </c>
      <c r="F261" t="s">
        <v>139</v>
      </c>
      <c r="G261">
        <v>1</v>
      </c>
      <c r="H261">
        <v>40</v>
      </c>
      <c r="J261">
        <v>17120102</v>
      </c>
      <c r="K261" t="s">
        <v>140</v>
      </c>
      <c r="L261">
        <v>40</v>
      </c>
      <c r="M261">
        <v>40</v>
      </c>
      <c r="W261" t="s">
        <v>851</v>
      </c>
    </row>
    <row r="262" spans="1:23">
      <c r="B262" s="47" t="s">
        <v>866</v>
      </c>
      <c r="C262">
        <v>15122020</v>
      </c>
      <c r="D262" t="s">
        <v>138</v>
      </c>
      <c r="E262" t="s">
        <v>604</v>
      </c>
      <c r="F262" t="s">
        <v>139</v>
      </c>
      <c r="G262">
        <v>2</v>
      </c>
      <c r="H262">
        <v>40</v>
      </c>
      <c r="J262">
        <v>17120103</v>
      </c>
      <c r="K262" t="s">
        <v>140</v>
      </c>
      <c r="L262">
        <v>40</v>
      </c>
      <c r="M262">
        <v>40</v>
      </c>
      <c r="W262" t="s">
        <v>851</v>
      </c>
    </row>
    <row r="263" spans="1:23">
      <c r="B263" s="47" t="s">
        <v>866</v>
      </c>
      <c r="C263">
        <v>15122020</v>
      </c>
      <c r="D263" t="s">
        <v>138</v>
      </c>
      <c r="E263" t="s">
        <v>604</v>
      </c>
      <c r="F263" t="s">
        <v>139</v>
      </c>
      <c r="G263">
        <v>3</v>
      </c>
      <c r="H263">
        <v>50</v>
      </c>
      <c r="J263">
        <v>56110100</v>
      </c>
      <c r="K263" t="s">
        <v>140</v>
      </c>
      <c r="L263">
        <v>80</v>
      </c>
      <c r="M263">
        <v>80</v>
      </c>
      <c r="P263">
        <v>830141404</v>
      </c>
      <c r="W263" t="s">
        <v>851</v>
      </c>
    </row>
    <row r="264" spans="1:23">
      <c r="B264" s="47"/>
      <c r="E264"/>
    </row>
    <row r="265" spans="1:23">
      <c r="A265" t="s">
        <v>192</v>
      </c>
      <c r="B265" s="47" t="s">
        <v>874</v>
      </c>
      <c r="C265">
        <v>15122020</v>
      </c>
      <c r="D265" t="s">
        <v>138</v>
      </c>
      <c r="E265" t="s">
        <v>607</v>
      </c>
      <c r="F265" t="s">
        <v>139</v>
      </c>
      <c r="G265">
        <v>1</v>
      </c>
      <c r="H265">
        <v>40</v>
      </c>
      <c r="J265">
        <v>17120102</v>
      </c>
      <c r="K265" t="s">
        <v>140</v>
      </c>
      <c r="L265">
        <v>133</v>
      </c>
      <c r="M265">
        <v>133</v>
      </c>
      <c r="W265" t="s">
        <v>851</v>
      </c>
    </row>
    <row r="266" spans="1:23">
      <c r="B266" s="47" t="s">
        <v>874</v>
      </c>
      <c r="C266">
        <v>15122020</v>
      </c>
      <c r="D266" t="s">
        <v>138</v>
      </c>
      <c r="E266" t="s">
        <v>607</v>
      </c>
      <c r="F266" t="s">
        <v>139</v>
      </c>
      <c r="G266">
        <v>2</v>
      </c>
      <c r="H266">
        <v>40</v>
      </c>
      <c r="J266">
        <v>17120103</v>
      </c>
      <c r="K266" t="s">
        <v>140</v>
      </c>
      <c r="L266">
        <v>133</v>
      </c>
      <c r="M266">
        <v>133</v>
      </c>
      <c r="W266" t="s">
        <v>851</v>
      </c>
    </row>
    <row r="267" spans="1:23">
      <c r="B267" s="47" t="s">
        <v>874</v>
      </c>
      <c r="C267">
        <v>15122020</v>
      </c>
      <c r="D267" t="s">
        <v>138</v>
      </c>
      <c r="E267" t="s">
        <v>607</v>
      </c>
      <c r="F267" t="s">
        <v>139</v>
      </c>
      <c r="G267">
        <v>3</v>
      </c>
      <c r="H267">
        <v>50</v>
      </c>
      <c r="J267">
        <v>56110100</v>
      </c>
      <c r="K267" t="s">
        <v>140</v>
      </c>
      <c r="L267">
        <v>266</v>
      </c>
      <c r="M267">
        <v>266</v>
      </c>
      <c r="P267">
        <v>830141404</v>
      </c>
      <c r="W267" t="s">
        <v>851</v>
      </c>
    </row>
    <row r="268" spans="1:23">
      <c r="B268" s="47"/>
      <c r="E268"/>
    </row>
    <row r="269" spans="1:23">
      <c r="A269" t="s">
        <v>192</v>
      </c>
      <c r="B269" s="47" t="s">
        <v>875</v>
      </c>
      <c r="C269">
        <v>15122020</v>
      </c>
      <c r="D269" t="s">
        <v>138</v>
      </c>
      <c r="E269" t="s">
        <v>613</v>
      </c>
      <c r="F269" t="s">
        <v>139</v>
      </c>
      <c r="G269">
        <v>1</v>
      </c>
      <c r="H269">
        <v>40</v>
      </c>
      <c r="J269">
        <v>17120102</v>
      </c>
      <c r="K269" t="s">
        <v>140</v>
      </c>
      <c r="L269">
        <v>37</v>
      </c>
      <c r="M269">
        <v>37</v>
      </c>
      <c r="W269" t="s">
        <v>851</v>
      </c>
    </row>
    <row r="270" spans="1:23">
      <c r="B270" s="47" t="s">
        <v>875</v>
      </c>
      <c r="C270">
        <v>15122020</v>
      </c>
      <c r="D270" t="s">
        <v>138</v>
      </c>
      <c r="E270" t="s">
        <v>613</v>
      </c>
      <c r="F270" t="s">
        <v>139</v>
      </c>
      <c r="G270">
        <v>2</v>
      </c>
      <c r="H270">
        <v>40</v>
      </c>
      <c r="J270">
        <v>17120103</v>
      </c>
      <c r="K270" t="s">
        <v>140</v>
      </c>
      <c r="L270">
        <v>37</v>
      </c>
      <c r="M270">
        <v>37</v>
      </c>
      <c r="W270" t="s">
        <v>851</v>
      </c>
    </row>
    <row r="271" spans="1:23">
      <c r="B271" s="47" t="s">
        <v>875</v>
      </c>
      <c r="C271">
        <v>15122020</v>
      </c>
      <c r="D271" t="s">
        <v>138</v>
      </c>
      <c r="E271" t="s">
        <v>613</v>
      </c>
      <c r="F271" t="s">
        <v>139</v>
      </c>
      <c r="G271">
        <v>3</v>
      </c>
      <c r="H271">
        <v>50</v>
      </c>
      <c r="J271">
        <v>56110100</v>
      </c>
      <c r="K271" t="s">
        <v>140</v>
      </c>
      <c r="L271">
        <v>74</v>
      </c>
      <c r="M271">
        <v>74</v>
      </c>
      <c r="P271">
        <v>830141404</v>
      </c>
      <c r="W271" t="s">
        <v>851</v>
      </c>
    </row>
    <row r="272" spans="1:23">
      <c r="B272" s="47"/>
      <c r="E272"/>
    </row>
    <row r="273" spans="1:23">
      <c r="A273" t="s">
        <v>192</v>
      </c>
      <c r="B273" s="47" t="s">
        <v>850</v>
      </c>
      <c r="C273">
        <v>15122020</v>
      </c>
      <c r="D273" t="s">
        <v>138</v>
      </c>
      <c r="E273" t="s">
        <v>618</v>
      </c>
      <c r="F273" t="s">
        <v>139</v>
      </c>
      <c r="G273">
        <v>1</v>
      </c>
      <c r="H273">
        <v>40</v>
      </c>
      <c r="J273">
        <v>17120100</v>
      </c>
      <c r="K273" t="s">
        <v>140</v>
      </c>
      <c r="L273">
        <v>70</v>
      </c>
      <c r="M273">
        <v>70</v>
      </c>
      <c r="W273" t="s">
        <v>851</v>
      </c>
    </row>
    <row r="274" spans="1:23">
      <c r="B274" s="47" t="s">
        <v>850</v>
      </c>
      <c r="C274">
        <v>15122020</v>
      </c>
      <c r="D274" t="s">
        <v>138</v>
      </c>
      <c r="E274" t="s">
        <v>618</v>
      </c>
      <c r="F274" t="s">
        <v>139</v>
      </c>
      <c r="G274">
        <v>2</v>
      </c>
      <c r="H274">
        <v>50</v>
      </c>
      <c r="J274">
        <v>56110100</v>
      </c>
      <c r="K274" t="s">
        <v>140</v>
      </c>
      <c r="L274">
        <v>70</v>
      </c>
      <c r="M274">
        <v>70</v>
      </c>
      <c r="P274">
        <v>830141404</v>
      </c>
      <c r="W274" t="s">
        <v>851</v>
      </c>
    </row>
    <row r="275" spans="1:23">
      <c r="B275" s="47"/>
      <c r="E275"/>
    </row>
    <row r="276" spans="1:23">
      <c r="A276" t="s">
        <v>192</v>
      </c>
      <c r="B276" s="47" t="s">
        <v>850</v>
      </c>
      <c r="C276">
        <v>15122020</v>
      </c>
      <c r="D276" t="s">
        <v>138</v>
      </c>
      <c r="E276" t="s">
        <v>622</v>
      </c>
      <c r="F276" t="s">
        <v>139</v>
      </c>
      <c r="G276">
        <v>1</v>
      </c>
      <c r="H276">
        <v>40</v>
      </c>
      <c r="J276">
        <v>17120102</v>
      </c>
      <c r="K276" t="s">
        <v>140</v>
      </c>
      <c r="L276">
        <v>34</v>
      </c>
      <c r="M276">
        <v>34</v>
      </c>
      <c r="W276" t="s">
        <v>851</v>
      </c>
    </row>
    <row r="277" spans="1:23">
      <c r="B277" s="47" t="s">
        <v>850</v>
      </c>
      <c r="C277">
        <v>15122020</v>
      </c>
      <c r="D277" t="s">
        <v>138</v>
      </c>
      <c r="E277" t="s">
        <v>622</v>
      </c>
      <c r="F277" t="s">
        <v>139</v>
      </c>
      <c r="G277">
        <v>2</v>
      </c>
      <c r="H277">
        <v>40</v>
      </c>
      <c r="J277">
        <v>17120103</v>
      </c>
      <c r="K277" t="s">
        <v>140</v>
      </c>
      <c r="L277">
        <v>34</v>
      </c>
      <c r="M277">
        <v>34</v>
      </c>
      <c r="W277" t="s">
        <v>851</v>
      </c>
    </row>
    <row r="278" spans="1:23">
      <c r="B278" s="47" t="s">
        <v>850</v>
      </c>
      <c r="C278">
        <v>15122020</v>
      </c>
      <c r="D278" t="s">
        <v>138</v>
      </c>
      <c r="E278" t="s">
        <v>622</v>
      </c>
      <c r="F278" t="s">
        <v>139</v>
      </c>
      <c r="G278">
        <v>3</v>
      </c>
      <c r="H278">
        <v>50</v>
      </c>
      <c r="J278">
        <v>56110100</v>
      </c>
      <c r="K278" t="s">
        <v>140</v>
      </c>
      <c r="L278">
        <v>68</v>
      </c>
      <c r="M278">
        <v>68</v>
      </c>
      <c r="P278">
        <v>830141404</v>
      </c>
      <c r="W278" t="s">
        <v>851</v>
      </c>
    </row>
    <row r="279" spans="1:23">
      <c r="B279" s="47"/>
      <c r="E279"/>
    </row>
    <row r="280" spans="1:23">
      <c r="A280" t="s">
        <v>192</v>
      </c>
      <c r="B280" s="47" t="s">
        <v>852</v>
      </c>
      <c r="C280">
        <v>15122020</v>
      </c>
      <c r="D280" t="s">
        <v>138</v>
      </c>
      <c r="E280" t="s">
        <v>625</v>
      </c>
      <c r="F280" t="s">
        <v>139</v>
      </c>
      <c r="G280">
        <v>1</v>
      </c>
      <c r="H280">
        <v>40</v>
      </c>
      <c r="J280">
        <v>17120102</v>
      </c>
      <c r="K280" t="s">
        <v>140</v>
      </c>
      <c r="L280">
        <v>47</v>
      </c>
      <c r="M280">
        <v>47</v>
      </c>
      <c r="W280" t="s">
        <v>851</v>
      </c>
    </row>
    <row r="281" spans="1:23">
      <c r="B281" s="47" t="s">
        <v>852</v>
      </c>
      <c r="C281">
        <v>15122020</v>
      </c>
      <c r="D281" t="s">
        <v>138</v>
      </c>
      <c r="E281" t="s">
        <v>625</v>
      </c>
      <c r="F281" t="s">
        <v>139</v>
      </c>
      <c r="G281">
        <v>2</v>
      </c>
      <c r="H281">
        <v>40</v>
      </c>
      <c r="J281">
        <v>17120103</v>
      </c>
      <c r="K281" t="s">
        <v>140</v>
      </c>
      <c r="L281">
        <v>47</v>
      </c>
      <c r="M281">
        <v>47</v>
      </c>
      <c r="W281" t="s">
        <v>851</v>
      </c>
    </row>
    <row r="282" spans="1:23">
      <c r="B282" s="47" t="s">
        <v>852</v>
      </c>
      <c r="C282">
        <v>15122020</v>
      </c>
      <c r="D282" t="s">
        <v>138</v>
      </c>
      <c r="E282" t="s">
        <v>625</v>
      </c>
      <c r="F282" t="s">
        <v>139</v>
      </c>
      <c r="G282">
        <v>3</v>
      </c>
      <c r="H282">
        <v>50</v>
      </c>
      <c r="J282">
        <v>56110100</v>
      </c>
      <c r="K282" t="s">
        <v>140</v>
      </c>
      <c r="L282">
        <v>94</v>
      </c>
      <c r="M282">
        <v>94</v>
      </c>
      <c r="P282">
        <v>830141404</v>
      </c>
      <c r="W282" t="s">
        <v>851</v>
      </c>
    </row>
    <row r="283" spans="1:23">
      <c r="B283" s="47"/>
      <c r="E283"/>
    </row>
    <row r="284" spans="1:23">
      <c r="A284" t="s">
        <v>192</v>
      </c>
      <c r="B284" s="47" t="s">
        <v>865</v>
      </c>
      <c r="C284">
        <v>15122020</v>
      </c>
      <c r="D284" t="s">
        <v>138</v>
      </c>
      <c r="E284" t="s">
        <v>629</v>
      </c>
      <c r="F284" t="s">
        <v>139</v>
      </c>
      <c r="G284">
        <v>1</v>
      </c>
      <c r="H284">
        <v>40</v>
      </c>
      <c r="J284">
        <v>17120102</v>
      </c>
      <c r="K284" t="s">
        <v>140</v>
      </c>
      <c r="L284">
        <v>46</v>
      </c>
      <c r="M284">
        <v>46</v>
      </c>
      <c r="W284" t="s">
        <v>851</v>
      </c>
    </row>
    <row r="285" spans="1:23">
      <c r="B285" s="47" t="s">
        <v>865</v>
      </c>
      <c r="C285">
        <v>15122020</v>
      </c>
      <c r="D285" t="s">
        <v>138</v>
      </c>
      <c r="E285" t="s">
        <v>629</v>
      </c>
      <c r="F285" t="s">
        <v>139</v>
      </c>
      <c r="G285">
        <v>2</v>
      </c>
      <c r="H285">
        <v>40</v>
      </c>
      <c r="J285">
        <v>17120103</v>
      </c>
      <c r="K285" t="s">
        <v>140</v>
      </c>
      <c r="L285">
        <v>46</v>
      </c>
      <c r="M285">
        <v>46</v>
      </c>
      <c r="W285" t="s">
        <v>851</v>
      </c>
    </row>
    <row r="286" spans="1:23">
      <c r="B286" s="47" t="s">
        <v>865</v>
      </c>
      <c r="C286">
        <v>15122020</v>
      </c>
      <c r="D286" t="s">
        <v>138</v>
      </c>
      <c r="E286" t="s">
        <v>629</v>
      </c>
      <c r="F286" t="s">
        <v>139</v>
      </c>
      <c r="G286">
        <v>3</v>
      </c>
      <c r="H286">
        <v>50</v>
      </c>
      <c r="J286">
        <v>56110100</v>
      </c>
      <c r="K286" t="s">
        <v>140</v>
      </c>
      <c r="L286">
        <v>92</v>
      </c>
      <c r="M286">
        <v>92</v>
      </c>
      <c r="P286">
        <v>830141404</v>
      </c>
      <c r="W286" t="s">
        <v>851</v>
      </c>
    </row>
    <row r="287" spans="1:23">
      <c r="B287" s="47"/>
      <c r="E287"/>
    </row>
    <row r="288" spans="1:23">
      <c r="A288" t="s">
        <v>479</v>
      </c>
      <c r="B288" s="47" t="s">
        <v>870</v>
      </c>
      <c r="C288">
        <v>15122020</v>
      </c>
      <c r="D288" t="s">
        <v>138</v>
      </c>
      <c r="E288" t="s">
        <v>634</v>
      </c>
      <c r="F288" t="s">
        <v>139</v>
      </c>
      <c r="G288">
        <v>1</v>
      </c>
      <c r="H288">
        <v>40</v>
      </c>
      <c r="J288">
        <v>56110100</v>
      </c>
      <c r="K288" t="s">
        <v>140</v>
      </c>
      <c r="L288">
        <v>92</v>
      </c>
      <c r="M288">
        <v>92</v>
      </c>
      <c r="P288">
        <v>830141404</v>
      </c>
      <c r="W288" t="s">
        <v>851</v>
      </c>
    </row>
    <row r="289" spans="1:23">
      <c r="B289" s="47" t="s">
        <v>870</v>
      </c>
      <c r="C289">
        <v>15122020</v>
      </c>
      <c r="D289" t="s">
        <v>138</v>
      </c>
      <c r="E289" t="s">
        <v>634</v>
      </c>
      <c r="F289" t="s">
        <v>139</v>
      </c>
      <c r="G289">
        <v>2</v>
      </c>
      <c r="H289">
        <v>50</v>
      </c>
      <c r="J289">
        <v>17120102</v>
      </c>
      <c r="K289" t="s">
        <v>140</v>
      </c>
      <c r="L289">
        <v>46</v>
      </c>
      <c r="M289">
        <v>46</v>
      </c>
      <c r="W289" t="s">
        <v>851</v>
      </c>
    </row>
    <row r="290" spans="1:23">
      <c r="B290" s="47" t="s">
        <v>870</v>
      </c>
      <c r="C290">
        <v>15122020</v>
      </c>
      <c r="D290" t="s">
        <v>138</v>
      </c>
      <c r="E290" t="s">
        <v>634</v>
      </c>
      <c r="F290" t="s">
        <v>139</v>
      </c>
      <c r="G290">
        <v>3</v>
      </c>
      <c r="H290">
        <v>50</v>
      </c>
      <c r="J290">
        <v>17120103</v>
      </c>
      <c r="K290" t="s">
        <v>140</v>
      </c>
      <c r="L290">
        <v>46</v>
      </c>
      <c r="M290">
        <v>46</v>
      </c>
      <c r="W290" t="s">
        <v>851</v>
      </c>
    </row>
    <row r="291" spans="1:23">
      <c r="B291" s="47"/>
      <c r="E291"/>
    </row>
    <row r="292" spans="1:23">
      <c r="A292" t="s">
        <v>192</v>
      </c>
      <c r="B292" s="47" t="s">
        <v>848</v>
      </c>
      <c r="C292">
        <v>15122020</v>
      </c>
      <c r="D292" t="s">
        <v>138</v>
      </c>
      <c r="E292" t="s">
        <v>637</v>
      </c>
      <c r="F292" t="s">
        <v>139</v>
      </c>
      <c r="G292">
        <v>1</v>
      </c>
      <c r="H292">
        <v>40</v>
      </c>
      <c r="J292">
        <v>17120100</v>
      </c>
      <c r="K292" t="s">
        <v>140</v>
      </c>
      <c r="L292">
        <v>317</v>
      </c>
      <c r="M292">
        <v>317</v>
      </c>
      <c r="W292" t="s">
        <v>851</v>
      </c>
    </row>
    <row r="293" spans="1:23">
      <c r="B293" s="47" t="s">
        <v>848</v>
      </c>
      <c r="C293">
        <v>15122020</v>
      </c>
      <c r="D293" t="s">
        <v>138</v>
      </c>
      <c r="E293" t="s">
        <v>637</v>
      </c>
      <c r="F293" t="s">
        <v>139</v>
      </c>
      <c r="G293">
        <v>2</v>
      </c>
      <c r="H293">
        <v>50</v>
      </c>
      <c r="J293">
        <v>56110100</v>
      </c>
      <c r="K293" t="s">
        <v>140</v>
      </c>
      <c r="L293">
        <v>317</v>
      </c>
      <c r="M293">
        <v>317</v>
      </c>
      <c r="P293">
        <v>830141404</v>
      </c>
      <c r="W293" t="s">
        <v>851</v>
      </c>
    </row>
    <row r="294" spans="1:23">
      <c r="B294" s="47"/>
      <c r="E294"/>
    </row>
    <row r="295" spans="1:23">
      <c r="A295" t="s">
        <v>192</v>
      </c>
      <c r="B295" s="47" t="s">
        <v>860</v>
      </c>
      <c r="C295">
        <v>15122020</v>
      </c>
      <c r="D295" t="s">
        <v>138</v>
      </c>
      <c r="E295" t="s">
        <v>642</v>
      </c>
      <c r="F295" t="s">
        <v>139</v>
      </c>
      <c r="G295">
        <v>1</v>
      </c>
      <c r="H295">
        <v>40</v>
      </c>
      <c r="J295">
        <v>17120100</v>
      </c>
      <c r="K295" t="s">
        <v>140</v>
      </c>
      <c r="L295">
        <v>79</v>
      </c>
      <c r="M295">
        <v>79</v>
      </c>
      <c r="W295" t="s">
        <v>851</v>
      </c>
    </row>
    <row r="296" spans="1:23">
      <c r="B296" s="47" t="s">
        <v>860</v>
      </c>
      <c r="C296">
        <v>15122020</v>
      </c>
      <c r="D296" t="s">
        <v>138</v>
      </c>
      <c r="E296" t="s">
        <v>642</v>
      </c>
      <c r="F296" t="s">
        <v>139</v>
      </c>
      <c r="G296">
        <v>2</v>
      </c>
      <c r="H296">
        <v>50</v>
      </c>
      <c r="J296">
        <v>56110100</v>
      </c>
      <c r="K296" t="s">
        <v>140</v>
      </c>
      <c r="L296">
        <v>79</v>
      </c>
      <c r="M296">
        <v>79</v>
      </c>
      <c r="P296">
        <v>830141404</v>
      </c>
      <c r="W296" t="s">
        <v>851</v>
      </c>
    </row>
    <row r="297" spans="1:23">
      <c r="B297" s="47"/>
      <c r="E297"/>
    </row>
    <row r="298" spans="1:23">
      <c r="A298" t="s">
        <v>192</v>
      </c>
      <c r="B298" s="47" t="s">
        <v>849</v>
      </c>
      <c r="C298">
        <v>15122020</v>
      </c>
      <c r="D298" t="s">
        <v>138</v>
      </c>
      <c r="E298" t="s">
        <v>646</v>
      </c>
      <c r="F298" t="s">
        <v>139</v>
      </c>
      <c r="G298">
        <v>1</v>
      </c>
      <c r="H298">
        <v>40</v>
      </c>
      <c r="J298">
        <v>17120102</v>
      </c>
      <c r="K298" t="s">
        <v>140</v>
      </c>
      <c r="L298">
        <v>44</v>
      </c>
      <c r="M298">
        <v>44</v>
      </c>
      <c r="W298" t="s">
        <v>851</v>
      </c>
    </row>
    <row r="299" spans="1:23">
      <c r="B299" s="47" t="s">
        <v>849</v>
      </c>
      <c r="C299">
        <v>15122020</v>
      </c>
      <c r="D299" t="s">
        <v>138</v>
      </c>
      <c r="E299" t="s">
        <v>646</v>
      </c>
      <c r="F299" t="s">
        <v>139</v>
      </c>
      <c r="G299">
        <v>2</v>
      </c>
      <c r="H299">
        <v>40</v>
      </c>
      <c r="J299">
        <v>17120103</v>
      </c>
      <c r="K299" t="s">
        <v>140</v>
      </c>
      <c r="L299">
        <v>44</v>
      </c>
      <c r="M299">
        <v>44</v>
      </c>
      <c r="W299" t="s">
        <v>851</v>
      </c>
    </row>
    <row r="300" spans="1:23">
      <c r="B300" s="47" t="s">
        <v>849</v>
      </c>
      <c r="C300">
        <v>15122020</v>
      </c>
      <c r="D300" t="s">
        <v>138</v>
      </c>
      <c r="E300" t="s">
        <v>646</v>
      </c>
      <c r="F300" t="s">
        <v>139</v>
      </c>
      <c r="G300">
        <v>3</v>
      </c>
      <c r="H300">
        <v>50</v>
      </c>
      <c r="J300">
        <v>56110100</v>
      </c>
      <c r="K300" t="s">
        <v>140</v>
      </c>
      <c r="L300">
        <v>88</v>
      </c>
      <c r="M300">
        <v>88</v>
      </c>
      <c r="P300">
        <v>830141404</v>
      </c>
      <c r="W300" t="s">
        <v>851</v>
      </c>
    </row>
    <row r="301" spans="1:23">
      <c r="B301" s="47"/>
      <c r="E301"/>
    </row>
    <row r="302" spans="1:23">
      <c r="A302" t="s">
        <v>192</v>
      </c>
      <c r="B302" s="47" t="s">
        <v>876</v>
      </c>
      <c r="C302">
        <v>15122020</v>
      </c>
      <c r="D302" t="s">
        <v>138</v>
      </c>
      <c r="E302" t="s">
        <v>650</v>
      </c>
      <c r="F302" t="s">
        <v>139</v>
      </c>
      <c r="G302">
        <v>1</v>
      </c>
      <c r="H302">
        <v>40</v>
      </c>
      <c r="J302">
        <v>17120100</v>
      </c>
      <c r="K302" t="s">
        <v>140</v>
      </c>
      <c r="L302">
        <v>80</v>
      </c>
      <c r="M302">
        <v>80</v>
      </c>
      <c r="W302" t="s">
        <v>851</v>
      </c>
    </row>
    <row r="303" spans="1:23">
      <c r="B303" s="47" t="s">
        <v>876</v>
      </c>
      <c r="C303">
        <v>15122020</v>
      </c>
      <c r="D303" t="s">
        <v>138</v>
      </c>
      <c r="E303" t="s">
        <v>650</v>
      </c>
      <c r="F303" t="s">
        <v>139</v>
      </c>
      <c r="G303">
        <v>2</v>
      </c>
      <c r="H303">
        <v>50</v>
      </c>
      <c r="J303">
        <v>56110100</v>
      </c>
      <c r="K303" t="s">
        <v>140</v>
      </c>
      <c r="L303">
        <v>80</v>
      </c>
      <c r="M303">
        <v>80</v>
      </c>
      <c r="P303">
        <v>830141404</v>
      </c>
      <c r="W303" t="s">
        <v>851</v>
      </c>
    </row>
    <row r="304" spans="1:23">
      <c r="B304" s="47"/>
      <c r="E304"/>
    </row>
    <row r="305" spans="1:23">
      <c r="A305" t="s">
        <v>192</v>
      </c>
      <c r="B305" s="47" t="s">
        <v>876</v>
      </c>
      <c r="C305">
        <v>15122020</v>
      </c>
      <c r="D305" t="s">
        <v>138</v>
      </c>
      <c r="E305" t="s">
        <v>655</v>
      </c>
      <c r="F305" t="s">
        <v>139</v>
      </c>
      <c r="G305">
        <v>1</v>
      </c>
      <c r="H305">
        <v>40</v>
      </c>
      <c r="J305">
        <v>17120102</v>
      </c>
      <c r="K305" t="s">
        <v>140</v>
      </c>
      <c r="L305">
        <v>34</v>
      </c>
      <c r="M305">
        <v>34</v>
      </c>
      <c r="W305" t="s">
        <v>851</v>
      </c>
    </row>
    <row r="306" spans="1:23">
      <c r="B306" s="47" t="s">
        <v>876</v>
      </c>
      <c r="C306">
        <v>15122020</v>
      </c>
      <c r="D306" t="s">
        <v>138</v>
      </c>
      <c r="E306" t="s">
        <v>655</v>
      </c>
      <c r="F306" t="s">
        <v>139</v>
      </c>
      <c r="G306">
        <v>2</v>
      </c>
      <c r="H306">
        <v>40</v>
      </c>
      <c r="J306">
        <v>17120103</v>
      </c>
      <c r="K306" t="s">
        <v>140</v>
      </c>
      <c r="L306">
        <v>34</v>
      </c>
      <c r="M306">
        <v>34</v>
      </c>
      <c r="W306" t="s">
        <v>851</v>
      </c>
    </row>
    <row r="307" spans="1:23">
      <c r="B307" s="47" t="s">
        <v>876</v>
      </c>
      <c r="C307">
        <v>15122020</v>
      </c>
      <c r="D307" t="s">
        <v>138</v>
      </c>
      <c r="E307" t="s">
        <v>655</v>
      </c>
      <c r="F307" t="s">
        <v>139</v>
      </c>
      <c r="G307">
        <v>3</v>
      </c>
      <c r="H307">
        <v>50</v>
      </c>
      <c r="J307">
        <v>56110100</v>
      </c>
      <c r="K307" t="s">
        <v>140</v>
      </c>
      <c r="L307">
        <v>68</v>
      </c>
      <c r="M307">
        <v>68</v>
      </c>
      <c r="P307">
        <v>830141404</v>
      </c>
      <c r="W307" t="s">
        <v>851</v>
      </c>
    </row>
    <row r="308" spans="1:23">
      <c r="B308" s="47"/>
      <c r="E308"/>
    </row>
    <row r="309" spans="1:23">
      <c r="A309" t="s">
        <v>192</v>
      </c>
      <c r="B309" s="47" t="s">
        <v>189</v>
      </c>
      <c r="C309">
        <v>15122020</v>
      </c>
      <c r="D309" t="s">
        <v>138</v>
      </c>
      <c r="E309" t="s">
        <v>658</v>
      </c>
      <c r="F309" t="s">
        <v>139</v>
      </c>
      <c r="G309">
        <v>1</v>
      </c>
      <c r="H309">
        <v>40</v>
      </c>
      <c r="J309">
        <v>17120102</v>
      </c>
      <c r="K309" t="s">
        <v>140</v>
      </c>
      <c r="L309">
        <v>39</v>
      </c>
      <c r="M309">
        <v>39</v>
      </c>
      <c r="W309" t="s">
        <v>851</v>
      </c>
    </row>
    <row r="310" spans="1:23">
      <c r="B310" s="47" t="s">
        <v>189</v>
      </c>
      <c r="C310">
        <v>15122020</v>
      </c>
      <c r="D310" t="s">
        <v>138</v>
      </c>
      <c r="E310" t="s">
        <v>658</v>
      </c>
      <c r="F310" t="s">
        <v>139</v>
      </c>
      <c r="G310">
        <v>2</v>
      </c>
      <c r="H310">
        <v>40</v>
      </c>
      <c r="J310">
        <v>17120103</v>
      </c>
      <c r="K310" t="s">
        <v>140</v>
      </c>
      <c r="L310">
        <v>39</v>
      </c>
      <c r="M310">
        <v>39</v>
      </c>
      <c r="W310" t="s">
        <v>851</v>
      </c>
    </row>
    <row r="311" spans="1:23">
      <c r="B311" s="47" t="s">
        <v>189</v>
      </c>
      <c r="C311">
        <v>15122020</v>
      </c>
      <c r="D311" t="s">
        <v>138</v>
      </c>
      <c r="E311" t="s">
        <v>658</v>
      </c>
      <c r="F311" t="s">
        <v>139</v>
      </c>
      <c r="G311">
        <v>3</v>
      </c>
      <c r="H311">
        <v>50</v>
      </c>
      <c r="J311">
        <v>56110100</v>
      </c>
      <c r="K311" t="s">
        <v>140</v>
      </c>
      <c r="L311">
        <v>78</v>
      </c>
      <c r="M311">
        <v>78</v>
      </c>
      <c r="P311">
        <v>830141404</v>
      </c>
      <c r="W311" t="s">
        <v>851</v>
      </c>
    </row>
    <row r="312" spans="1:23">
      <c r="B312" s="47"/>
      <c r="E312"/>
    </row>
    <row r="313" spans="1:23">
      <c r="A313" t="s">
        <v>192</v>
      </c>
      <c r="B313" s="47" t="s">
        <v>867</v>
      </c>
      <c r="C313">
        <v>15122020</v>
      </c>
      <c r="D313" t="s">
        <v>138</v>
      </c>
      <c r="E313" t="s">
        <v>662</v>
      </c>
      <c r="F313" t="s">
        <v>139</v>
      </c>
      <c r="G313">
        <v>1</v>
      </c>
      <c r="H313">
        <v>40</v>
      </c>
      <c r="J313">
        <v>17120100</v>
      </c>
      <c r="K313" t="s">
        <v>140</v>
      </c>
      <c r="L313">
        <v>79</v>
      </c>
      <c r="M313">
        <v>79</v>
      </c>
      <c r="W313" t="s">
        <v>851</v>
      </c>
    </row>
    <row r="314" spans="1:23">
      <c r="B314" s="47" t="s">
        <v>867</v>
      </c>
      <c r="C314">
        <v>15122020</v>
      </c>
      <c r="D314" t="s">
        <v>138</v>
      </c>
      <c r="E314" t="s">
        <v>662</v>
      </c>
      <c r="F314" t="s">
        <v>139</v>
      </c>
      <c r="G314">
        <v>2</v>
      </c>
      <c r="H314">
        <v>50</v>
      </c>
      <c r="J314">
        <v>56110100</v>
      </c>
      <c r="K314" t="s">
        <v>140</v>
      </c>
      <c r="L314">
        <v>79</v>
      </c>
      <c r="M314">
        <v>79</v>
      </c>
      <c r="P314">
        <v>830141404</v>
      </c>
      <c r="W314" t="s">
        <v>851</v>
      </c>
    </row>
    <row r="315" spans="1:23">
      <c r="B315" s="47"/>
      <c r="E315"/>
    </row>
    <row r="316" spans="1:23">
      <c r="A316" t="s">
        <v>479</v>
      </c>
      <c r="B316" s="47" t="s">
        <v>868</v>
      </c>
      <c r="C316">
        <v>15122020</v>
      </c>
      <c r="D316" t="s">
        <v>138</v>
      </c>
      <c r="E316" t="s">
        <v>666</v>
      </c>
      <c r="F316" t="s">
        <v>139</v>
      </c>
      <c r="G316">
        <v>1</v>
      </c>
      <c r="H316">
        <v>40</v>
      </c>
      <c r="J316">
        <v>56110100</v>
      </c>
      <c r="K316" t="s">
        <v>140</v>
      </c>
      <c r="L316">
        <v>79</v>
      </c>
      <c r="M316">
        <v>79</v>
      </c>
      <c r="P316">
        <v>830141404</v>
      </c>
      <c r="W316" t="s">
        <v>851</v>
      </c>
    </row>
    <row r="317" spans="1:23">
      <c r="B317" s="47" t="s">
        <v>868</v>
      </c>
      <c r="C317">
        <v>15122020</v>
      </c>
      <c r="D317" t="s">
        <v>138</v>
      </c>
      <c r="E317" t="s">
        <v>666</v>
      </c>
      <c r="F317" t="s">
        <v>139</v>
      </c>
      <c r="G317">
        <v>2</v>
      </c>
      <c r="H317">
        <v>50</v>
      </c>
      <c r="J317">
        <v>17120100</v>
      </c>
      <c r="K317" t="s">
        <v>140</v>
      </c>
      <c r="L317">
        <v>79</v>
      </c>
      <c r="M317">
        <v>79</v>
      </c>
      <c r="W317" t="s">
        <v>851</v>
      </c>
    </row>
    <row r="318" spans="1:23">
      <c r="B318" s="47"/>
      <c r="E318"/>
    </row>
    <row r="319" spans="1:23">
      <c r="A319" t="s">
        <v>192</v>
      </c>
      <c r="B319" s="47" t="s">
        <v>875</v>
      </c>
      <c r="C319">
        <v>15122020</v>
      </c>
      <c r="D319" t="s">
        <v>138</v>
      </c>
      <c r="E319" t="s">
        <v>669</v>
      </c>
      <c r="F319" t="s">
        <v>139</v>
      </c>
      <c r="G319">
        <v>1</v>
      </c>
      <c r="H319">
        <v>40</v>
      </c>
      <c r="J319">
        <v>17120100</v>
      </c>
      <c r="K319" t="s">
        <v>140</v>
      </c>
      <c r="L319">
        <v>75</v>
      </c>
      <c r="M319">
        <v>75</v>
      </c>
      <c r="W319" t="s">
        <v>851</v>
      </c>
    </row>
    <row r="320" spans="1:23">
      <c r="B320" s="47" t="s">
        <v>875</v>
      </c>
      <c r="C320">
        <v>15122020</v>
      </c>
      <c r="D320" t="s">
        <v>138</v>
      </c>
      <c r="E320" t="s">
        <v>669</v>
      </c>
      <c r="F320" t="s">
        <v>139</v>
      </c>
      <c r="G320">
        <v>2</v>
      </c>
      <c r="H320">
        <v>50</v>
      </c>
      <c r="J320">
        <v>56110100</v>
      </c>
      <c r="K320" t="s">
        <v>140</v>
      </c>
      <c r="L320">
        <v>75</v>
      </c>
      <c r="M320">
        <v>75</v>
      </c>
      <c r="P320">
        <v>830141404</v>
      </c>
      <c r="W320" t="s">
        <v>851</v>
      </c>
    </row>
    <row r="321" spans="1:23">
      <c r="B321" s="47"/>
      <c r="E321"/>
    </row>
    <row r="322" spans="1:23">
      <c r="A322" t="s">
        <v>192</v>
      </c>
      <c r="B322" s="47" t="s">
        <v>877</v>
      </c>
      <c r="C322">
        <v>15122020</v>
      </c>
      <c r="D322" t="s">
        <v>138</v>
      </c>
      <c r="E322" t="s">
        <v>673</v>
      </c>
      <c r="F322" t="s">
        <v>139</v>
      </c>
      <c r="G322">
        <v>1</v>
      </c>
      <c r="H322">
        <v>40</v>
      </c>
      <c r="J322">
        <v>17120100</v>
      </c>
      <c r="K322" t="s">
        <v>140</v>
      </c>
      <c r="L322">
        <v>128</v>
      </c>
      <c r="M322">
        <v>128</v>
      </c>
      <c r="W322" t="s">
        <v>851</v>
      </c>
    </row>
    <row r="323" spans="1:23">
      <c r="B323" s="47" t="s">
        <v>877</v>
      </c>
      <c r="C323">
        <v>15122020</v>
      </c>
      <c r="D323" t="s">
        <v>138</v>
      </c>
      <c r="E323" t="s">
        <v>673</v>
      </c>
      <c r="F323" t="s">
        <v>139</v>
      </c>
      <c r="G323">
        <v>2</v>
      </c>
      <c r="H323">
        <v>50</v>
      </c>
      <c r="J323">
        <v>56110100</v>
      </c>
      <c r="K323" t="s">
        <v>140</v>
      </c>
      <c r="L323">
        <v>128</v>
      </c>
      <c r="M323">
        <v>128</v>
      </c>
      <c r="P323">
        <v>830141404</v>
      </c>
      <c r="W323" t="s">
        <v>851</v>
      </c>
    </row>
    <row r="324" spans="1:23">
      <c r="B324" s="47"/>
      <c r="E324"/>
    </row>
    <row r="325" spans="1:23">
      <c r="A325" t="s">
        <v>192</v>
      </c>
      <c r="B325" s="47" t="s">
        <v>878</v>
      </c>
      <c r="C325">
        <v>15122020</v>
      </c>
      <c r="D325" t="s">
        <v>138</v>
      </c>
      <c r="E325" t="s">
        <v>679</v>
      </c>
      <c r="F325" t="s">
        <v>139</v>
      </c>
      <c r="G325">
        <v>1</v>
      </c>
      <c r="H325">
        <v>40</v>
      </c>
      <c r="J325">
        <v>17120102</v>
      </c>
      <c r="K325" t="s">
        <v>140</v>
      </c>
      <c r="L325">
        <v>35</v>
      </c>
      <c r="M325">
        <v>35</v>
      </c>
      <c r="W325" t="s">
        <v>851</v>
      </c>
    </row>
    <row r="326" spans="1:23">
      <c r="B326" s="47" t="s">
        <v>878</v>
      </c>
      <c r="C326">
        <v>15122020</v>
      </c>
      <c r="D326" t="s">
        <v>138</v>
      </c>
      <c r="E326" t="s">
        <v>679</v>
      </c>
      <c r="F326" t="s">
        <v>139</v>
      </c>
      <c r="G326">
        <v>2</v>
      </c>
      <c r="H326">
        <v>40</v>
      </c>
      <c r="J326">
        <v>17120103</v>
      </c>
      <c r="K326" t="s">
        <v>140</v>
      </c>
      <c r="L326">
        <v>35</v>
      </c>
      <c r="M326">
        <v>35</v>
      </c>
      <c r="W326" t="s">
        <v>851</v>
      </c>
    </row>
    <row r="327" spans="1:23">
      <c r="B327" s="47" t="s">
        <v>878</v>
      </c>
      <c r="C327">
        <v>15122020</v>
      </c>
      <c r="D327" t="s">
        <v>138</v>
      </c>
      <c r="E327" t="s">
        <v>679</v>
      </c>
      <c r="F327" t="s">
        <v>139</v>
      </c>
      <c r="G327">
        <v>3</v>
      </c>
      <c r="H327">
        <v>50</v>
      </c>
      <c r="J327">
        <v>56110100</v>
      </c>
      <c r="K327" t="s">
        <v>140</v>
      </c>
      <c r="L327">
        <v>70</v>
      </c>
      <c r="M327">
        <v>70</v>
      </c>
      <c r="P327">
        <v>830141404</v>
      </c>
      <c r="W327" t="s">
        <v>851</v>
      </c>
    </row>
    <row r="328" spans="1:23">
      <c r="B328" s="47"/>
      <c r="E328"/>
    </row>
    <row r="329" spans="1:23">
      <c r="A329" t="s">
        <v>192</v>
      </c>
      <c r="B329" s="47" t="s">
        <v>186</v>
      </c>
      <c r="C329">
        <v>15122020</v>
      </c>
      <c r="D329" t="s">
        <v>138</v>
      </c>
      <c r="E329" t="s">
        <v>685</v>
      </c>
      <c r="F329" t="s">
        <v>139</v>
      </c>
      <c r="G329">
        <v>1</v>
      </c>
      <c r="H329">
        <v>40</v>
      </c>
      <c r="J329">
        <v>17120102</v>
      </c>
      <c r="K329" t="s">
        <v>140</v>
      </c>
      <c r="L329">
        <v>34</v>
      </c>
      <c r="M329">
        <v>34</v>
      </c>
      <c r="W329" t="s">
        <v>851</v>
      </c>
    </row>
    <row r="330" spans="1:23">
      <c r="B330" s="47" t="s">
        <v>186</v>
      </c>
      <c r="C330">
        <v>15122020</v>
      </c>
      <c r="D330" t="s">
        <v>138</v>
      </c>
      <c r="E330" t="s">
        <v>685</v>
      </c>
      <c r="F330" t="s">
        <v>139</v>
      </c>
      <c r="G330">
        <v>2</v>
      </c>
      <c r="H330">
        <v>40</v>
      </c>
      <c r="J330">
        <v>17120103</v>
      </c>
      <c r="K330" t="s">
        <v>140</v>
      </c>
      <c r="L330">
        <v>34</v>
      </c>
      <c r="M330">
        <v>34</v>
      </c>
      <c r="W330" t="s">
        <v>851</v>
      </c>
    </row>
    <row r="331" spans="1:23">
      <c r="B331" s="47" t="s">
        <v>186</v>
      </c>
      <c r="C331">
        <v>15122020</v>
      </c>
      <c r="D331" t="s">
        <v>138</v>
      </c>
      <c r="E331" t="s">
        <v>685</v>
      </c>
      <c r="F331" t="s">
        <v>139</v>
      </c>
      <c r="G331">
        <v>3</v>
      </c>
      <c r="H331">
        <v>50</v>
      </c>
      <c r="J331">
        <v>56110100</v>
      </c>
      <c r="K331" t="s">
        <v>140</v>
      </c>
      <c r="L331">
        <v>68</v>
      </c>
      <c r="M331">
        <v>68</v>
      </c>
      <c r="P331">
        <v>830141404</v>
      </c>
      <c r="W331" t="s">
        <v>851</v>
      </c>
    </row>
    <row r="332" spans="1:23">
      <c r="B332" s="47"/>
      <c r="E332"/>
    </row>
    <row r="333" spans="1:23">
      <c r="A333" t="s">
        <v>192</v>
      </c>
      <c r="B333" s="47" t="s">
        <v>863</v>
      </c>
      <c r="C333">
        <v>15122020</v>
      </c>
      <c r="D333" t="s">
        <v>138</v>
      </c>
      <c r="E333" t="s">
        <v>689</v>
      </c>
      <c r="F333" t="s">
        <v>139</v>
      </c>
      <c r="G333">
        <v>1</v>
      </c>
      <c r="H333">
        <v>40</v>
      </c>
      <c r="J333">
        <v>17120102</v>
      </c>
      <c r="K333" t="s">
        <v>140</v>
      </c>
      <c r="L333">
        <v>37</v>
      </c>
      <c r="M333">
        <v>37</v>
      </c>
      <c r="W333" t="s">
        <v>851</v>
      </c>
    </row>
    <row r="334" spans="1:23">
      <c r="B334" s="47" t="s">
        <v>863</v>
      </c>
      <c r="C334">
        <v>15122020</v>
      </c>
      <c r="D334" t="s">
        <v>138</v>
      </c>
      <c r="E334" t="s">
        <v>689</v>
      </c>
      <c r="F334" t="s">
        <v>139</v>
      </c>
      <c r="G334">
        <v>2</v>
      </c>
      <c r="H334">
        <v>40</v>
      </c>
      <c r="J334">
        <v>17120103</v>
      </c>
      <c r="K334" t="s">
        <v>140</v>
      </c>
      <c r="L334">
        <v>37</v>
      </c>
      <c r="M334">
        <v>37</v>
      </c>
      <c r="W334" t="s">
        <v>851</v>
      </c>
    </row>
    <row r="335" spans="1:23">
      <c r="B335" s="47" t="s">
        <v>863</v>
      </c>
      <c r="C335">
        <v>15122020</v>
      </c>
      <c r="D335" t="s">
        <v>138</v>
      </c>
      <c r="E335" t="s">
        <v>689</v>
      </c>
      <c r="F335" t="s">
        <v>139</v>
      </c>
      <c r="G335">
        <v>3</v>
      </c>
      <c r="H335">
        <v>50</v>
      </c>
      <c r="J335">
        <v>56110100</v>
      </c>
      <c r="K335" t="s">
        <v>140</v>
      </c>
      <c r="L335">
        <v>74</v>
      </c>
      <c r="M335">
        <v>74</v>
      </c>
      <c r="P335">
        <v>830141404</v>
      </c>
      <c r="W335" t="s">
        <v>851</v>
      </c>
    </row>
    <row r="336" spans="1:23">
      <c r="B336" s="47"/>
      <c r="E336"/>
    </row>
    <row r="337" spans="1:23">
      <c r="A337" t="s">
        <v>192</v>
      </c>
      <c r="B337" s="47" t="s">
        <v>848</v>
      </c>
      <c r="C337">
        <v>15122020</v>
      </c>
      <c r="D337" t="s">
        <v>138</v>
      </c>
      <c r="E337" t="s">
        <v>693</v>
      </c>
      <c r="F337" t="s">
        <v>139</v>
      </c>
      <c r="G337">
        <v>1</v>
      </c>
      <c r="H337">
        <v>40</v>
      </c>
      <c r="J337">
        <v>17120102</v>
      </c>
      <c r="K337" t="s">
        <v>140</v>
      </c>
      <c r="L337">
        <v>34</v>
      </c>
      <c r="M337">
        <v>34</v>
      </c>
      <c r="W337" t="s">
        <v>851</v>
      </c>
    </row>
    <row r="338" spans="1:23">
      <c r="B338" s="47" t="s">
        <v>848</v>
      </c>
      <c r="C338">
        <v>15122020</v>
      </c>
      <c r="D338" t="s">
        <v>138</v>
      </c>
      <c r="E338" t="s">
        <v>693</v>
      </c>
      <c r="F338" t="s">
        <v>139</v>
      </c>
      <c r="G338">
        <v>2</v>
      </c>
      <c r="H338">
        <v>40</v>
      </c>
      <c r="J338">
        <v>17120103</v>
      </c>
      <c r="K338" t="s">
        <v>140</v>
      </c>
      <c r="L338">
        <v>34</v>
      </c>
      <c r="M338">
        <v>34</v>
      </c>
      <c r="W338" t="s">
        <v>851</v>
      </c>
    </row>
    <row r="339" spans="1:23">
      <c r="B339" s="47" t="s">
        <v>848</v>
      </c>
      <c r="C339">
        <v>15122020</v>
      </c>
      <c r="D339" t="s">
        <v>138</v>
      </c>
      <c r="E339" t="s">
        <v>693</v>
      </c>
      <c r="F339" t="s">
        <v>139</v>
      </c>
      <c r="G339">
        <v>3</v>
      </c>
      <c r="H339">
        <v>50</v>
      </c>
      <c r="J339">
        <v>56110100</v>
      </c>
      <c r="K339" t="s">
        <v>140</v>
      </c>
      <c r="L339">
        <v>68</v>
      </c>
      <c r="M339">
        <v>68</v>
      </c>
      <c r="P339">
        <v>830141404</v>
      </c>
      <c r="W339" t="s">
        <v>851</v>
      </c>
    </row>
    <row r="340" spans="1:23">
      <c r="B340" s="47"/>
      <c r="E340"/>
    </row>
    <row r="341" spans="1:23">
      <c r="A341" t="s">
        <v>192</v>
      </c>
      <c r="B341" s="47" t="s">
        <v>879</v>
      </c>
      <c r="C341">
        <v>15122020</v>
      </c>
      <c r="D341" t="s">
        <v>138</v>
      </c>
      <c r="E341" t="s">
        <v>698</v>
      </c>
      <c r="F341" t="s">
        <v>139</v>
      </c>
      <c r="G341">
        <v>1</v>
      </c>
      <c r="H341">
        <v>40</v>
      </c>
      <c r="J341">
        <v>17120100</v>
      </c>
      <c r="K341" t="s">
        <v>140</v>
      </c>
      <c r="L341">
        <v>80</v>
      </c>
      <c r="M341">
        <v>80</v>
      </c>
      <c r="W341" t="s">
        <v>851</v>
      </c>
    </row>
    <row r="342" spans="1:23">
      <c r="B342" s="47" t="s">
        <v>879</v>
      </c>
      <c r="C342">
        <v>15122020</v>
      </c>
      <c r="D342" t="s">
        <v>138</v>
      </c>
      <c r="E342" t="s">
        <v>698</v>
      </c>
      <c r="F342" t="s">
        <v>139</v>
      </c>
      <c r="G342">
        <v>2</v>
      </c>
      <c r="H342">
        <v>50</v>
      </c>
      <c r="J342">
        <v>56110100</v>
      </c>
      <c r="K342" t="s">
        <v>140</v>
      </c>
      <c r="L342">
        <v>80</v>
      </c>
      <c r="M342">
        <v>80</v>
      </c>
      <c r="P342">
        <v>830141404</v>
      </c>
      <c r="W342" t="s">
        <v>851</v>
      </c>
    </row>
    <row r="343" spans="1:23">
      <c r="B343" s="47"/>
      <c r="E343"/>
    </row>
    <row r="344" spans="1:23">
      <c r="A344" t="s">
        <v>192</v>
      </c>
      <c r="B344" s="47" t="s">
        <v>863</v>
      </c>
      <c r="C344">
        <v>15122020</v>
      </c>
      <c r="D344" t="s">
        <v>138</v>
      </c>
      <c r="E344" t="s">
        <v>703</v>
      </c>
      <c r="F344" t="s">
        <v>139</v>
      </c>
      <c r="G344">
        <v>1</v>
      </c>
      <c r="H344">
        <v>40</v>
      </c>
      <c r="J344">
        <v>17120102</v>
      </c>
      <c r="K344" t="s">
        <v>140</v>
      </c>
      <c r="L344">
        <v>37</v>
      </c>
      <c r="M344">
        <v>37</v>
      </c>
      <c r="W344" t="s">
        <v>851</v>
      </c>
    </row>
    <row r="345" spans="1:23">
      <c r="B345" s="47" t="s">
        <v>863</v>
      </c>
      <c r="C345">
        <v>15122020</v>
      </c>
      <c r="D345" t="s">
        <v>138</v>
      </c>
      <c r="E345" t="s">
        <v>703</v>
      </c>
      <c r="F345" t="s">
        <v>139</v>
      </c>
      <c r="G345">
        <v>2</v>
      </c>
      <c r="H345">
        <v>40</v>
      </c>
      <c r="J345">
        <v>17120103</v>
      </c>
      <c r="K345" t="s">
        <v>140</v>
      </c>
      <c r="L345">
        <v>37</v>
      </c>
      <c r="M345">
        <v>37</v>
      </c>
      <c r="W345" t="s">
        <v>851</v>
      </c>
    </row>
    <row r="346" spans="1:23">
      <c r="B346" s="47" t="s">
        <v>863</v>
      </c>
      <c r="C346">
        <v>15122020</v>
      </c>
      <c r="D346" t="s">
        <v>138</v>
      </c>
      <c r="E346" t="s">
        <v>703</v>
      </c>
      <c r="F346" t="s">
        <v>139</v>
      </c>
      <c r="G346">
        <v>3</v>
      </c>
      <c r="H346">
        <v>50</v>
      </c>
      <c r="J346">
        <v>56110100</v>
      </c>
      <c r="K346" t="s">
        <v>140</v>
      </c>
      <c r="L346">
        <v>74</v>
      </c>
      <c r="M346">
        <v>74</v>
      </c>
      <c r="P346">
        <v>830141404</v>
      </c>
      <c r="W346" t="s">
        <v>851</v>
      </c>
    </row>
    <row r="347" spans="1:23">
      <c r="B347" s="47"/>
      <c r="E347"/>
    </row>
    <row r="348" spans="1:23">
      <c r="A348" t="s">
        <v>192</v>
      </c>
      <c r="B348" s="47" t="s">
        <v>856</v>
      </c>
      <c r="C348">
        <v>15122020</v>
      </c>
      <c r="D348" t="s">
        <v>138</v>
      </c>
      <c r="E348" t="s">
        <v>715</v>
      </c>
      <c r="F348" t="s">
        <v>139</v>
      </c>
      <c r="G348">
        <v>1</v>
      </c>
      <c r="H348">
        <v>40</v>
      </c>
      <c r="J348">
        <v>17120102</v>
      </c>
      <c r="K348" t="s">
        <v>140</v>
      </c>
      <c r="L348">
        <v>42</v>
      </c>
      <c r="M348">
        <v>42</v>
      </c>
      <c r="W348" t="s">
        <v>851</v>
      </c>
    </row>
    <row r="349" spans="1:23">
      <c r="B349" s="47" t="s">
        <v>856</v>
      </c>
      <c r="C349">
        <v>15122020</v>
      </c>
      <c r="D349" t="s">
        <v>138</v>
      </c>
      <c r="E349" t="s">
        <v>715</v>
      </c>
      <c r="F349" t="s">
        <v>139</v>
      </c>
      <c r="G349">
        <v>2</v>
      </c>
      <c r="H349">
        <v>40</v>
      </c>
      <c r="J349">
        <v>17120103</v>
      </c>
      <c r="K349" t="s">
        <v>140</v>
      </c>
      <c r="L349">
        <v>42</v>
      </c>
      <c r="M349">
        <v>42</v>
      </c>
      <c r="W349" t="s">
        <v>851</v>
      </c>
    </row>
    <row r="350" spans="1:23">
      <c r="B350" s="47" t="s">
        <v>856</v>
      </c>
      <c r="C350">
        <v>15122020</v>
      </c>
      <c r="D350" t="s">
        <v>138</v>
      </c>
      <c r="E350" t="s">
        <v>715</v>
      </c>
      <c r="F350" t="s">
        <v>139</v>
      </c>
      <c r="G350">
        <v>3</v>
      </c>
      <c r="H350">
        <v>50</v>
      </c>
      <c r="J350">
        <v>56110100</v>
      </c>
      <c r="K350" t="s">
        <v>140</v>
      </c>
      <c r="L350">
        <v>84</v>
      </c>
      <c r="M350">
        <v>84</v>
      </c>
      <c r="P350">
        <v>830141404</v>
      </c>
      <c r="W350" t="s">
        <v>851</v>
      </c>
    </row>
    <row r="351" spans="1:23">
      <c r="B351" s="47"/>
      <c r="E351"/>
    </row>
    <row r="352" spans="1:23">
      <c r="A352" t="s">
        <v>192</v>
      </c>
      <c r="B352" s="47" t="s">
        <v>865</v>
      </c>
      <c r="C352">
        <v>15122020</v>
      </c>
      <c r="D352" t="s">
        <v>138</v>
      </c>
      <c r="E352" t="s">
        <v>719</v>
      </c>
      <c r="F352" t="s">
        <v>139</v>
      </c>
      <c r="G352">
        <v>1</v>
      </c>
      <c r="H352">
        <v>40</v>
      </c>
      <c r="J352">
        <v>17120102</v>
      </c>
      <c r="K352" t="s">
        <v>140</v>
      </c>
      <c r="L352">
        <v>46</v>
      </c>
      <c r="M352">
        <v>46</v>
      </c>
      <c r="W352" t="s">
        <v>851</v>
      </c>
    </row>
    <row r="353" spans="1:23">
      <c r="B353" s="47" t="s">
        <v>865</v>
      </c>
      <c r="C353">
        <v>15122020</v>
      </c>
      <c r="D353" t="s">
        <v>138</v>
      </c>
      <c r="E353" t="s">
        <v>719</v>
      </c>
      <c r="F353" t="s">
        <v>139</v>
      </c>
      <c r="G353">
        <v>2</v>
      </c>
      <c r="H353">
        <v>40</v>
      </c>
      <c r="J353">
        <v>17120103</v>
      </c>
      <c r="K353" t="s">
        <v>140</v>
      </c>
      <c r="L353">
        <v>46</v>
      </c>
      <c r="M353">
        <v>46</v>
      </c>
      <c r="W353" t="s">
        <v>851</v>
      </c>
    </row>
    <row r="354" spans="1:23">
      <c r="B354" s="47" t="s">
        <v>865</v>
      </c>
      <c r="C354">
        <v>15122020</v>
      </c>
      <c r="D354" t="s">
        <v>138</v>
      </c>
      <c r="E354" t="s">
        <v>719</v>
      </c>
      <c r="F354" t="s">
        <v>139</v>
      </c>
      <c r="G354">
        <v>3</v>
      </c>
      <c r="H354">
        <v>50</v>
      </c>
      <c r="J354">
        <v>56110100</v>
      </c>
      <c r="K354" t="s">
        <v>140</v>
      </c>
      <c r="L354">
        <v>92</v>
      </c>
      <c r="M354">
        <v>92</v>
      </c>
      <c r="P354">
        <v>830141404</v>
      </c>
      <c r="W354" t="s">
        <v>851</v>
      </c>
    </row>
    <row r="355" spans="1:23">
      <c r="B355" s="47"/>
      <c r="E355"/>
    </row>
    <row r="356" spans="1:23">
      <c r="A356" t="s">
        <v>479</v>
      </c>
      <c r="B356" s="47" t="s">
        <v>870</v>
      </c>
      <c r="C356">
        <v>15122020</v>
      </c>
      <c r="D356" t="s">
        <v>138</v>
      </c>
      <c r="E356" t="s">
        <v>723</v>
      </c>
      <c r="F356" t="s">
        <v>139</v>
      </c>
      <c r="G356">
        <v>1</v>
      </c>
      <c r="H356">
        <v>40</v>
      </c>
      <c r="J356">
        <v>56110100</v>
      </c>
      <c r="K356" t="s">
        <v>140</v>
      </c>
      <c r="L356">
        <v>92</v>
      </c>
      <c r="M356">
        <v>92</v>
      </c>
      <c r="P356">
        <v>830141404</v>
      </c>
      <c r="W356" t="s">
        <v>851</v>
      </c>
    </row>
    <row r="357" spans="1:23">
      <c r="B357" s="47" t="s">
        <v>870</v>
      </c>
      <c r="C357">
        <v>15122020</v>
      </c>
      <c r="D357" t="s">
        <v>138</v>
      </c>
      <c r="E357" t="s">
        <v>723</v>
      </c>
      <c r="F357" t="s">
        <v>139</v>
      </c>
      <c r="G357">
        <v>2</v>
      </c>
      <c r="H357">
        <v>50</v>
      </c>
      <c r="J357">
        <v>17120102</v>
      </c>
      <c r="K357" t="s">
        <v>140</v>
      </c>
      <c r="L357">
        <v>46</v>
      </c>
      <c r="M357">
        <v>46</v>
      </c>
      <c r="W357" t="s">
        <v>851</v>
      </c>
    </row>
    <row r="358" spans="1:23">
      <c r="B358" s="47" t="s">
        <v>870</v>
      </c>
      <c r="C358">
        <v>15122020</v>
      </c>
      <c r="D358" t="s">
        <v>138</v>
      </c>
      <c r="E358" t="s">
        <v>723</v>
      </c>
      <c r="F358" t="s">
        <v>139</v>
      </c>
      <c r="G358">
        <v>3</v>
      </c>
      <c r="H358">
        <v>50</v>
      </c>
      <c r="J358">
        <v>17120103</v>
      </c>
      <c r="K358" t="s">
        <v>140</v>
      </c>
      <c r="L358">
        <v>46</v>
      </c>
      <c r="M358">
        <v>46</v>
      </c>
      <c r="W358" t="s">
        <v>851</v>
      </c>
    </row>
    <row r="359" spans="1:23">
      <c r="B359" s="47"/>
      <c r="E359"/>
    </row>
    <row r="360" spans="1:23">
      <c r="A360" t="s">
        <v>192</v>
      </c>
      <c r="B360" s="47" t="s">
        <v>873</v>
      </c>
      <c r="C360">
        <v>15122020</v>
      </c>
      <c r="D360" t="s">
        <v>138</v>
      </c>
      <c r="E360" t="s">
        <v>726</v>
      </c>
      <c r="F360" t="s">
        <v>139</v>
      </c>
      <c r="G360">
        <v>1</v>
      </c>
      <c r="H360">
        <v>40</v>
      </c>
      <c r="J360">
        <v>17120102</v>
      </c>
      <c r="K360" t="s">
        <v>140</v>
      </c>
      <c r="L360">
        <v>69</v>
      </c>
      <c r="M360">
        <v>69</v>
      </c>
      <c r="W360" t="s">
        <v>851</v>
      </c>
    </row>
    <row r="361" spans="1:23">
      <c r="B361" s="47" t="s">
        <v>873</v>
      </c>
      <c r="C361">
        <v>15122020</v>
      </c>
      <c r="D361" t="s">
        <v>138</v>
      </c>
      <c r="E361" t="s">
        <v>726</v>
      </c>
      <c r="F361" t="s">
        <v>139</v>
      </c>
      <c r="G361">
        <v>2</v>
      </c>
      <c r="H361">
        <v>40</v>
      </c>
      <c r="J361">
        <v>17120103</v>
      </c>
      <c r="K361" t="s">
        <v>140</v>
      </c>
      <c r="L361">
        <v>69</v>
      </c>
      <c r="M361">
        <v>69</v>
      </c>
      <c r="W361" t="s">
        <v>851</v>
      </c>
    </row>
    <row r="362" spans="1:23">
      <c r="B362" s="47" t="s">
        <v>873</v>
      </c>
      <c r="C362">
        <v>15122020</v>
      </c>
      <c r="D362" t="s">
        <v>138</v>
      </c>
      <c r="E362" t="s">
        <v>726</v>
      </c>
      <c r="F362" t="s">
        <v>139</v>
      </c>
      <c r="G362">
        <v>3</v>
      </c>
      <c r="H362">
        <v>50</v>
      </c>
      <c r="J362">
        <v>56110100</v>
      </c>
      <c r="K362" t="s">
        <v>140</v>
      </c>
      <c r="L362">
        <v>138</v>
      </c>
      <c r="M362">
        <v>138</v>
      </c>
      <c r="P362">
        <v>830141404</v>
      </c>
      <c r="W362" t="s">
        <v>851</v>
      </c>
    </row>
    <row r="363" spans="1:23">
      <c r="B363" s="47"/>
      <c r="E363"/>
    </row>
    <row r="364" spans="1:23">
      <c r="A364" t="s">
        <v>192</v>
      </c>
      <c r="B364" s="47" t="s">
        <v>865</v>
      </c>
      <c r="C364">
        <v>15122020</v>
      </c>
      <c r="D364" t="s">
        <v>138</v>
      </c>
      <c r="E364" t="s">
        <v>741</v>
      </c>
      <c r="F364" t="s">
        <v>139</v>
      </c>
      <c r="G364">
        <v>1</v>
      </c>
      <c r="H364">
        <v>40</v>
      </c>
      <c r="J364">
        <v>17120102</v>
      </c>
      <c r="K364" t="s">
        <v>140</v>
      </c>
      <c r="L364">
        <v>46</v>
      </c>
      <c r="M364">
        <v>46</v>
      </c>
      <c r="W364" t="s">
        <v>851</v>
      </c>
    </row>
    <row r="365" spans="1:23">
      <c r="B365" s="47" t="s">
        <v>865</v>
      </c>
      <c r="C365">
        <v>15122020</v>
      </c>
      <c r="D365" t="s">
        <v>138</v>
      </c>
      <c r="E365" t="s">
        <v>741</v>
      </c>
      <c r="F365" t="s">
        <v>139</v>
      </c>
      <c r="G365">
        <v>2</v>
      </c>
      <c r="H365">
        <v>40</v>
      </c>
      <c r="J365">
        <v>17120103</v>
      </c>
      <c r="K365" t="s">
        <v>140</v>
      </c>
      <c r="L365">
        <v>46</v>
      </c>
      <c r="M365">
        <v>46</v>
      </c>
      <c r="W365" t="s">
        <v>851</v>
      </c>
    </row>
    <row r="366" spans="1:23">
      <c r="B366" s="47" t="s">
        <v>865</v>
      </c>
      <c r="C366">
        <v>15122020</v>
      </c>
      <c r="D366" t="s">
        <v>138</v>
      </c>
      <c r="E366" t="s">
        <v>741</v>
      </c>
      <c r="F366" t="s">
        <v>139</v>
      </c>
      <c r="G366">
        <v>3</v>
      </c>
      <c r="H366">
        <v>50</v>
      </c>
      <c r="J366">
        <v>56110100</v>
      </c>
      <c r="K366" t="s">
        <v>140</v>
      </c>
      <c r="L366">
        <v>92</v>
      </c>
      <c r="M366">
        <v>92</v>
      </c>
      <c r="P366">
        <v>830141404</v>
      </c>
      <c r="W366" t="s">
        <v>851</v>
      </c>
    </row>
    <row r="367" spans="1:23">
      <c r="B367" s="47"/>
      <c r="E367"/>
    </row>
    <row r="368" spans="1:23">
      <c r="A368" t="s">
        <v>479</v>
      </c>
      <c r="B368" s="47" t="s">
        <v>870</v>
      </c>
      <c r="C368">
        <v>15122020</v>
      </c>
      <c r="D368" t="s">
        <v>138</v>
      </c>
      <c r="E368" t="s">
        <v>745</v>
      </c>
      <c r="F368" t="s">
        <v>139</v>
      </c>
      <c r="G368">
        <v>1</v>
      </c>
      <c r="H368">
        <v>40</v>
      </c>
      <c r="J368">
        <v>56110100</v>
      </c>
      <c r="K368" t="s">
        <v>140</v>
      </c>
      <c r="L368">
        <v>92</v>
      </c>
      <c r="M368">
        <v>92</v>
      </c>
      <c r="P368">
        <v>830141404</v>
      </c>
      <c r="W368" t="s">
        <v>851</v>
      </c>
    </row>
    <row r="369" spans="1:23">
      <c r="B369" s="47" t="s">
        <v>870</v>
      </c>
      <c r="C369">
        <v>15122020</v>
      </c>
      <c r="D369" t="s">
        <v>138</v>
      </c>
      <c r="E369" t="s">
        <v>745</v>
      </c>
      <c r="F369" t="s">
        <v>139</v>
      </c>
      <c r="G369">
        <v>2</v>
      </c>
      <c r="H369">
        <v>50</v>
      </c>
      <c r="J369">
        <v>17120102</v>
      </c>
      <c r="K369" t="s">
        <v>140</v>
      </c>
      <c r="L369">
        <v>46</v>
      </c>
      <c r="M369">
        <v>46</v>
      </c>
      <c r="W369" t="s">
        <v>851</v>
      </c>
    </row>
    <row r="370" spans="1:23">
      <c r="B370" s="47" t="s">
        <v>870</v>
      </c>
      <c r="C370">
        <v>15122020</v>
      </c>
      <c r="D370" t="s">
        <v>138</v>
      </c>
      <c r="E370" t="s">
        <v>745</v>
      </c>
      <c r="F370" t="s">
        <v>139</v>
      </c>
      <c r="G370">
        <v>3</v>
      </c>
      <c r="H370">
        <v>50</v>
      </c>
      <c r="J370">
        <v>17120103</v>
      </c>
      <c r="K370" t="s">
        <v>140</v>
      </c>
      <c r="L370">
        <v>46</v>
      </c>
      <c r="M370">
        <v>46</v>
      </c>
      <c r="W370" t="s">
        <v>851</v>
      </c>
    </row>
    <row r="371" spans="1:23">
      <c r="B371" s="47"/>
      <c r="E371"/>
    </row>
    <row r="372" spans="1:23">
      <c r="A372" t="s">
        <v>192</v>
      </c>
      <c r="B372" s="47" t="s">
        <v>861</v>
      </c>
      <c r="C372">
        <v>15122020</v>
      </c>
      <c r="D372" t="s">
        <v>138</v>
      </c>
      <c r="E372" t="s">
        <v>748</v>
      </c>
      <c r="F372" t="s">
        <v>139</v>
      </c>
      <c r="G372">
        <v>1</v>
      </c>
      <c r="H372">
        <v>40</v>
      </c>
      <c r="J372">
        <v>17120100</v>
      </c>
      <c r="K372" t="s">
        <v>140</v>
      </c>
      <c r="L372">
        <v>68</v>
      </c>
      <c r="M372">
        <v>68</v>
      </c>
      <c r="W372" t="s">
        <v>851</v>
      </c>
    </row>
    <row r="373" spans="1:23">
      <c r="B373" s="47" t="s">
        <v>861</v>
      </c>
      <c r="C373">
        <v>15122020</v>
      </c>
      <c r="D373" t="s">
        <v>138</v>
      </c>
      <c r="E373" t="s">
        <v>748</v>
      </c>
      <c r="F373" t="s">
        <v>139</v>
      </c>
      <c r="G373">
        <v>2</v>
      </c>
      <c r="H373">
        <v>50</v>
      </c>
      <c r="J373">
        <v>56110100</v>
      </c>
      <c r="K373" t="s">
        <v>140</v>
      </c>
      <c r="L373">
        <v>68</v>
      </c>
      <c r="M373">
        <v>68</v>
      </c>
      <c r="P373">
        <v>830141404</v>
      </c>
      <c r="W373" t="s">
        <v>851</v>
      </c>
    </row>
    <row r="374" spans="1:23">
      <c r="B374" s="47"/>
      <c r="E374"/>
    </row>
    <row r="375" spans="1:23">
      <c r="A375" t="s">
        <v>192</v>
      </c>
      <c r="B375" s="47" t="s">
        <v>856</v>
      </c>
      <c r="C375">
        <v>15122020</v>
      </c>
      <c r="D375" t="s">
        <v>138</v>
      </c>
      <c r="E375" t="s">
        <v>752</v>
      </c>
      <c r="F375" t="s">
        <v>139</v>
      </c>
      <c r="G375">
        <v>1</v>
      </c>
      <c r="H375">
        <v>40</v>
      </c>
      <c r="J375">
        <v>17120102</v>
      </c>
      <c r="K375" t="s">
        <v>140</v>
      </c>
      <c r="L375">
        <v>37</v>
      </c>
      <c r="M375">
        <v>37</v>
      </c>
      <c r="W375" t="s">
        <v>851</v>
      </c>
    </row>
    <row r="376" spans="1:23">
      <c r="B376" s="47" t="s">
        <v>856</v>
      </c>
      <c r="C376">
        <v>15122020</v>
      </c>
      <c r="D376" t="s">
        <v>138</v>
      </c>
      <c r="E376" t="s">
        <v>752</v>
      </c>
      <c r="F376" t="s">
        <v>139</v>
      </c>
      <c r="G376">
        <v>2</v>
      </c>
      <c r="H376">
        <v>40</v>
      </c>
      <c r="J376">
        <v>17120103</v>
      </c>
      <c r="K376" t="s">
        <v>140</v>
      </c>
      <c r="L376">
        <v>37</v>
      </c>
      <c r="M376">
        <v>37</v>
      </c>
      <c r="W376" t="s">
        <v>851</v>
      </c>
    </row>
    <row r="377" spans="1:23">
      <c r="B377" s="47" t="s">
        <v>856</v>
      </c>
      <c r="C377">
        <v>15122020</v>
      </c>
      <c r="D377" t="s">
        <v>138</v>
      </c>
      <c r="E377" t="s">
        <v>752</v>
      </c>
      <c r="F377" t="s">
        <v>139</v>
      </c>
      <c r="G377">
        <v>3</v>
      </c>
      <c r="H377">
        <v>50</v>
      </c>
      <c r="J377">
        <v>56110100</v>
      </c>
      <c r="K377" t="s">
        <v>140</v>
      </c>
      <c r="L377">
        <v>74</v>
      </c>
      <c r="M377">
        <v>74</v>
      </c>
      <c r="P377">
        <v>830141404</v>
      </c>
      <c r="W377" t="s">
        <v>851</v>
      </c>
    </row>
    <row r="378" spans="1:23">
      <c r="B378" s="47"/>
      <c r="E378"/>
    </row>
    <row r="379" spans="1:23">
      <c r="A379" t="s">
        <v>192</v>
      </c>
      <c r="B379" s="47" t="s">
        <v>877</v>
      </c>
      <c r="C379">
        <v>15122020</v>
      </c>
      <c r="D379" t="s">
        <v>138</v>
      </c>
      <c r="E379" t="s">
        <v>756</v>
      </c>
      <c r="F379" t="s">
        <v>139</v>
      </c>
      <c r="G379">
        <v>1</v>
      </c>
      <c r="H379">
        <v>40</v>
      </c>
      <c r="J379">
        <v>17120102</v>
      </c>
      <c r="K379" t="s">
        <v>140</v>
      </c>
      <c r="L379">
        <v>38</v>
      </c>
      <c r="M379">
        <v>38</v>
      </c>
      <c r="W379" t="s">
        <v>851</v>
      </c>
    </row>
    <row r="380" spans="1:23">
      <c r="B380" s="47" t="s">
        <v>877</v>
      </c>
      <c r="C380">
        <v>15122020</v>
      </c>
      <c r="D380" t="s">
        <v>138</v>
      </c>
      <c r="E380" t="s">
        <v>756</v>
      </c>
      <c r="F380" t="s">
        <v>139</v>
      </c>
      <c r="G380">
        <v>2</v>
      </c>
      <c r="H380">
        <v>40</v>
      </c>
      <c r="J380">
        <v>17120103</v>
      </c>
      <c r="K380" t="s">
        <v>140</v>
      </c>
      <c r="L380">
        <v>38</v>
      </c>
      <c r="M380">
        <v>38</v>
      </c>
      <c r="W380" t="s">
        <v>851</v>
      </c>
    </row>
    <row r="381" spans="1:23">
      <c r="B381" s="47" t="s">
        <v>877</v>
      </c>
      <c r="C381">
        <v>15122020</v>
      </c>
      <c r="D381" t="s">
        <v>138</v>
      </c>
      <c r="E381" t="s">
        <v>756</v>
      </c>
      <c r="F381" t="s">
        <v>139</v>
      </c>
      <c r="G381">
        <v>3</v>
      </c>
      <c r="H381">
        <v>50</v>
      </c>
      <c r="J381">
        <v>56110100</v>
      </c>
      <c r="K381" t="s">
        <v>140</v>
      </c>
      <c r="L381">
        <v>76</v>
      </c>
      <c r="M381">
        <v>76</v>
      </c>
      <c r="P381">
        <v>830141404</v>
      </c>
      <c r="W381" t="s">
        <v>851</v>
      </c>
    </row>
    <row r="382" spans="1:23">
      <c r="B382" s="47"/>
      <c r="E382"/>
    </row>
    <row r="383" spans="1:23">
      <c r="A383" t="s">
        <v>192</v>
      </c>
      <c r="B383" s="47" t="s">
        <v>866</v>
      </c>
      <c r="C383">
        <v>15122020</v>
      </c>
      <c r="D383" t="s">
        <v>138</v>
      </c>
      <c r="E383" t="s">
        <v>760</v>
      </c>
      <c r="F383" t="s">
        <v>139</v>
      </c>
      <c r="G383">
        <v>1</v>
      </c>
      <c r="H383">
        <v>40</v>
      </c>
      <c r="J383">
        <v>17120102</v>
      </c>
      <c r="K383" t="s">
        <v>140</v>
      </c>
      <c r="L383">
        <v>83</v>
      </c>
      <c r="M383">
        <v>83</v>
      </c>
      <c r="W383" t="s">
        <v>851</v>
      </c>
    </row>
    <row r="384" spans="1:23">
      <c r="B384" s="47" t="s">
        <v>866</v>
      </c>
      <c r="C384">
        <v>15122020</v>
      </c>
      <c r="D384" t="s">
        <v>138</v>
      </c>
      <c r="E384" t="s">
        <v>760</v>
      </c>
      <c r="F384" t="s">
        <v>139</v>
      </c>
      <c r="G384">
        <v>2</v>
      </c>
      <c r="H384">
        <v>40</v>
      </c>
      <c r="J384">
        <v>17120103</v>
      </c>
      <c r="K384" t="s">
        <v>140</v>
      </c>
      <c r="L384">
        <v>83</v>
      </c>
      <c r="M384">
        <v>83</v>
      </c>
      <c r="W384" t="s">
        <v>851</v>
      </c>
    </row>
    <row r="385" spans="1:23">
      <c r="B385" s="47" t="s">
        <v>866</v>
      </c>
      <c r="C385">
        <v>15122020</v>
      </c>
      <c r="D385" t="s">
        <v>138</v>
      </c>
      <c r="E385" t="s">
        <v>760</v>
      </c>
      <c r="F385" t="s">
        <v>139</v>
      </c>
      <c r="G385">
        <v>3</v>
      </c>
      <c r="H385">
        <v>50</v>
      </c>
      <c r="J385">
        <v>56110100</v>
      </c>
      <c r="K385" t="s">
        <v>140</v>
      </c>
      <c r="L385">
        <v>166</v>
      </c>
      <c r="M385">
        <v>166</v>
      </c>
      <c r="P385">
        <v>830141404</v>
      </c>
      <c r="W385" t="s">
        <v>851</v>
      </c>
    </row>
    <row r="386" spans="1:23">
      <c r="B386" s="47"/>
      <c r="E386"/>
    </row>
    <row r="387" spans="1:23">
      <c r="A387" t="s">
        <v>192</v>
      </c>
      <c r="B387" s="47" t="s">
        <v>866</v>
      </c>
      <c r="C387">
        <v>15122020</v>
      </c>
      <c r="D387" t="s">
        <v>138</v>
      </c>
      <c r="E387" t="s">
        <v>765</v>
      </c>
      <c r="F387" t="s">
        <v>139</v>
      </c>
      <c r="G387">
        <v>1</v>
      </c>
      <c r="H387">
        <v>40</v>
      </c>
      <c r="J387">
        <v>17120102</v>
      </c>
      <c r="K387" t="s">
        <v>140</v>
      </c>
      <c r="L387">
        <v>45</v>
      </c>
      <c r="M387">
        <v>45</v>
      </c>
      <c r="W387" t="s">
        <v>851</v>
      </c>
    </row>
    <row r="388" spans="1:23">
      <c r="B388" s="47" t="s">
        <v>866</v>
      </c>
      <c r="C388">
        <v>15122020</v>
      </c>
      <c r="D388" t="s">
        <v>138</v>
      </c>
      <c r="E388" t="s">
        <v>765</v>
      </c>
      <c r="F388" t="s">
        <v>139</v>
      </c>
      <c r="G388">
        <v>2</v>
      </c>
      <c r="H388">
        <v>40</v>
      </c>
      <c r="J388">
        <v>17120103</v>
      </c>
      <c r="K388" t="s">
        <v>140</v>
      </c>
      <c r="L388">
        <v>45</v>
      </c>
      <c r="M388">
        <v>45</v>
      </c>
      <c r="W388" t="s">
        <v>851</v>
      </c>
    </row>
    <row r="389" spans="1:23">
      <c r="B389" s="47" t="s">
        <v>866</v>
      </c>
      <c r="C389">
        <v>15122020</v>
      </c>
      <c r="D389" t="s">
        <v>138</v>
      </c>
      <c r="E389" t="s">
        <v>765</v>
      </c>
      <c r="F389" t="s">
        <v>139</v>
      </c>
      <c r="G389">
        <v>3</v>
      </c>
      <c r="H389">
        <v>50</v>
      </c>
      <c r="J389">
        <v>56110100</v>
      </c>
      <c r="K389" t="s">
        <v>140</v>
      </c>
      <c r="L389">
        <v>90</v>
      </c>
      <c r="M389">
        <v>90</v>
      </c>
      <c r="P389">
        <v>830141404</v>
      </c>
      <c r="W389" t="s">
        <v>851</v>
      </c>
    </row>
    <row r="390" spans="1:23">
      <c r="B390" s="47"/>
      <c r="E390"/>
    </row>
    <row r="391" spans="1:23">
      <c r="A391" t="s">
        <v>192</v>
      </c>
      <c r="B391" s="47" t="s">
        <v>848</v>
      </c>
      <c r="C391">
        <v>15122020</v>
      </c>
      <c r="D391" t="s">
        <v>138</v>
      </c>
      <c r="E391" t="s">
        <v>768</v>
      </c>
      <c r="F391" t="s">
        <v>139</v>
      </c>
      <c r="G391">
        <v>1</v>
      </c>
      <c r="H391">
        <v>40</v>
      </c>
      <c r="J391">
        <v>17120100</v>
      </c>
      <c r="K391" t="s">
        <v>140</v>
      </c>
      <c r="L391">
        <v>78</v>
      </c>
      <c r="M391">
        <v>78</v>
      </c>
      <c r="W391" t="s">
        <v>851</v>
      </c>
    </row>
    <row r="392" spans="1:23">
      <c r="B392" s="47" t="s">
        <v>848</v>
      </c>
      <c r="C392">
        <v>15122020</v>
      </c>
      <c r="D392" t="s">
        <v>138</v>
      </c>
      <c r="E392" t="s">
        <v>768</v>
      </c>
      <c r="F392" t="s">
        <v>139</v>
      </c>
      <c r="G392">
        <v>2</v>
      </c>
      <c r="H392">
        <v>50</v>
      </c>
      <c r="J392">
        <v>56110100</v>
      </c>
      <c r="K392" t="s">
        <v>140</v>
      </c>
      <c r="L392">
        <v>78</v>
      </c>
      <c r="M392">
        <v>78</v>
      </c>
      <c r="P392">
        <v>830141404</v>
      </c>
      <c r="W392" t="s">
        <v>851</v>
      </c>
    </row>
    <row r="393" spans="1:23">
      <c r="B393" s="47"/>
      <c r="E393"/>
    </row>
    <row r="394" spans="1:23">
      <c r="A394" t="s">
        <v>192</v>
      </c>
      <c r="B394" s="47" t="s">
        <v>860</v>
      </c>
      <c r="C394">
        <v>15122020</v>
      </c>
      <c r="D394" t="s">
        <v>138</v>
      </c>
      <c r="E394" t="s">
        <v>772</v>
      </c>
      <c r="F394" t="s">
        <v>139</v>
      </c>
      <c r="G394">
        <v>1</v>
      </c>
      <c r="H394">
        <v>40</v>
      </c>
      <c r="J394">
        <v>17120102</v>
      </c>
      <c r="K394" t="s">
        <v>140</v>
      </c>
      <c r="L394">
        <v>34</v>
      </c>
      <c r="M394">
        <v>34</v>
      </c>
      <c r="W394" t="s">
        <v>851</v>
      </c>
    </row>
    <row r="395" spans="1:23">
      <c r="B395" s="47" t="s">
        <v>860</v>
      </c>
      <c r="C395">
        <v>15122020</v>
      </c>
      <c r="D395" t="s">
        <v>138</v>
      </c>
      <c r="E395" t="s">
        <v>772</v>
      </c>
      <c r="F395" t="s">
        <v>139</v>
      </c>
      <c r="G395">
        <v>2</v>
      </c>
      <c r="H395">
        <v>40</v>
      </c>
      <c r="J395">
        <v>17120103</v>
      </c>
      <c r="K395" t="s">
        <v>140</v>
      </c>
      <c r="L395">
        <v>34</v>
      </c>
      <c r="M395">
        <v>34</v>
      </c>
      <c r="W395" t="s">
        <v>851</v>
      </c>
    </row>
    <row r="396" spans="1:23">
      <c r="B396" s="47" t="s">
        <v>860</v>
      </c>
      <c r="C396">
        <v>15122020</v>
      </c>
      <c r="D396" t="s">
        <v>138</v>
      </c>
      <c r="E396" t="s">
        <v>772</v>
      </c>
      <c r="F396" t="s">
        <v>139</v>
      </c>
      <c r="G396">
        <v>3</v>
      </c>
      <c r="H396">
        <v>50</v>
      </c>
      <c r="J396">
        <v>56110100</v>
      </c>
      <c r="K396" t="s">
        <v>140</v>
      </c>
      <c r="L396">
        <v>68</v>
      </c>
      <c r="M396">
        <v>68</v>
      </c>
      <c r="P396">
        <v>830141404</v>
      </c>
      <c r="W396" t="s">
        <v>851</v>
      </c>
    </row>
    <row r="397" spans="1:23">
      <c r="B397" s="47"/>
      <c r="E397"/>
    </row>
    <row r="398" spans="1:23">
      <c r="A398" t="s">
        <v>192</v>
      </c>
      <c r="B398" s="47" t="s">
        <v>866</v>
      </c>
      <c r="C398">
        <v>15122020</v>
      </c>
      <c r="D398" t="s">
        <v>138</v>
      </c>
      <c r="E398" t="s">
        <v>776</v>
      </c>
      <c r="F398" t="s">
        <v>139</v>
      </c>
      <c r="G398">
        <v>1</v>
      </c>
      <c r="H398">
        <v>40</v>
      </c>
      <c r="J398">
        <v>17120102</v>
      </c>
      <c r="K398" t="s">
        <v>140</v>
      </c>
      <c r="L398">
        <v>98</v>
      </c>
      <c r="M398">
        <v>98</v>
      </c>
      <c r="W398" t="s">
        <v>851</v>
      </c>
    </row>
    <row r="399" spans="1:23">
      <c r="B399" s="47" t="s">
        <v>866</v>
      </c>
      <c r="C399">
        <v>15122020</v>
      </c>
      <c r="D399" t="s">
        <v>138</v>
      </c>
      <c r="E399" t="s">
        <v>776</v>
      </c>
      <c r="F399" t="s">
        <v>139</v>
      </c>
      <c r="G399">
        <v>2</v>
      </c>
      <c r="H399">
        <v>40</v>
      </c>
      <c r="J399">
        <v>17120103</v>
      </c>
      <c r="K399" t="s">
        <v>140</v>
      </c>
      <c r="L399">
        <v>98</v>
      </c>
      <c r="M399">
        <v>98</v>
      </c>
      <c r="W399" t="s">
        <v>851</v>
      </c>
    </row>
    <row r="400" spans="1:23">
      <c r="B400" s="47" t="s">
        <v>866</v>
      </c>
      <c r="C400">
        <v>15122020</v>
      </c>
      <c r="D400" t="s">
        <v>138</v>
      </c>
      <c r="E400" t="s">
        <v>776</v>
      </c>
      <c r="F400" t="s">
        <v>139</v>
      </c>
      <c r="G400">
        <v>3</v>
      </c>
      <c r="H400">
        <v>50</v>
      </c>
      <c r="J400">
        <v>56110100</v>
      </c>
      <c r="K400" t="s">
        <v>140</v>
      </c>
      <c r="L400">
        <v>196</v>
      </c>
      <c r="M400">
        <v>196</v>
      </c>
      <c r="P400">
        <v>830141404</v>
      </c>
      <c r="W400" t="s">
        <v>851</v>
      </c>
    </row>
    <row r="401" spans="1:23">
      <c r="B401" s="47"/>
      <c r="E401"/>
    </row>
    <row r="402" spans="1:23">
      <c r="A402" t="s">
        <v>192</v>
      </c>
      <c r="B402" s="47" t="s">
        <v>866</v>
      </c>
      <c r="C402">
        <v>15122020</v>
      </c>
      <c r="D402" t="s">
        <v>138</v>
      </c>
      <c r="E402" t="s">
        <v>780</v>
      </c>
      <c r="F402" t="s">
        <v>139</v>
      </c>
      <c r="G402">
        <v>1</v>
      </c>
      <c r="H402">
        <v>40</v>
      </c>
      <c r="J402">
        <v>17120102</v>
      </c>
      <c r="K402" t="s">
        <v>140</v>
      </c>
      <c r="L402">
        <v>46</v>
      </c>
      <c r="M402">
        <v>46</v>
      </c>
      <c r="W402" t="s">
        <v>851</v>
      </c>
    </row>
    <row r="403" spans="1:23">
      <c r="B403" s="47" t="s">
        <v>866</v>
      </c>
      <c r="C403">
        <v>15122020</v>
      </c>
      <c r="D403" t="s">
        <v>138</v>
      </c>
      <c r="E403" t="s">
        <v>780</v>
      </c>
      <c r="F403" t="s">
        <v>139</v>
      </c>
      <c r="G403">
        <v>2</v>
      </c>
      <c r="H403">
        <v>40</v>
      </c>
      <c r="J403">
        <v>17120103</v>
      </c>
      <c r="K403" t="s">
        <v>140</v>
      </c>
      <c r="L403">
        <v>46</v>
      </c>
      <c r="M403">
        <v>46</v>
      </c>
      <c r="W403" t="s">
        <v>851</v>
      </c>
    </row>
    <row r="404" spans="1:23">
      <c r="B404" s="47" t="s">
        <v>866</v>
      </c>
      <c r="C404">
        <v>15122020</v>
      </c>
      <c r="D404" t="s">
        <v>138</v>
      </c>
      <c r="E404" t="s">
        <v>780</v>
      </c>
      <c r="F404" t="s">
        <v>139</v>
      </c>
      <c r="G404">
        <v>3</v>
      </c>
      <c r="H404">
        <v>50</v>
      </c>
      <c r="J404">
        <v>56110100</v>
      </c>
      <c r="K404" t="s">
        <v>140</v>
      </c>
      <c r="L404">
        <v>92</v>
      </c>
      <c r="M404">
        <v>92</v>
      </c>
      <c r="P404">
        <v>830141404</v>
      </c>
      <c r="W404" t="s">
        <v>851</v>
      </c>
    </row>
    <row r="405" spans="1:23">
      <c r="B405" s="47"/>
      <c r="E405"/>
    </row>
    <row r="406" spans="1:23">
      <c r="A406" t="s">
        <v>192</v>
      </c>
      <c r="B406" s="47" t="s">
        <v>871</v>
      </c>
      <c r="C406">
        <v>15122020</v>
      </c>
      <c r="D406" t="s">
        <v>138</v>
      </c>
      <c r="E406" t="s">
        <v>783</v>
      </c>
      <c r="F406" t="s">
        <v>139</v>
      </c>
      <c r="G406">
        <v>1</v>
      </c>
      <c r="H406">
        <v>40</v>
      </c>
      <c r="J406">
        <v>17120102</v>
      </c>
      <c r="K406" t="s">
        <v>140</v>
      </c>
      <c r="L406">
        <v>35</v>
      </c>
      <c r="M406">
        <v>35</v>
      </c>
      <c r="W406" t="s">
        <v>851</v>
      </c>
    </row>
    <row r="407" spans="1:23">
      <c r="B407" s="47" t="s">
        <v>871</v>
      </c>
      <c r="C407">
        <v>15122020</v>
      </c>
      <c r="D407" t="s">
        <v>138</v>
      </c>
      <c r="E407" t="s">
        <v>783</v>
      </c>
      <c r="F407" t="s">
        <v>139</v>
      </c>
      <c r="G407">
        <v>2</v>
      </c>
      <c r="H407">
        <v>40</v>
      </c>
      <c r="J407">
        <v>17120103</v>
      </c>
      <c r="K407" t="s">
        <v>140</v>
      </c>
      <c r="L407">
        <v>35</v>
      </c>
      <c r="M407">
        <v>35</v>
      </c>
      <c r="W407" t="s">
        <v>851</v>
      </c>
    </row>
    <row r="408" spans="1:23">
      <c r="B408" s="47" t="s">
        <v>871</v>
      </c>
      <c r="C408">
        <v>15122020</v>
      </c>
      <c r="D408" t="s">
        <v>138</v>
      </c>
      <c r="E408" t="s">
        <v>783</v>
      </c>
      <c r="F408" t="s">
        <v>139</v>
      </c>
      <c r="G408">
        <v>3</v>
      </c>
      <c r="H408">
        <v>50</v>
      </c>
      <c r="J408">
        <v>56110100</v>
      </c>
      <c r="K408" t="s">
        <v>140</v>
      </c>
      <c r="L408">
        <v>70</v>
      </c>
      <c r="M408">
        <v>70</v>
      </c>
      <c r="P408">
        <v>830141404</v>
      </c>
      <c r="W408" t="s">
        <v>851</v>
      </c>
    </row>
    <row r="409" spans="1:23">
      <c r="B409" s="47"/>
      <c r="E409"/>
    </row>
    <row r="410" spans="1:23">
      <c r="A410" t="s">
        <v>192</v>
      </c>
      <c r="B410" s="47" t="s">
        <v>866</v>
      </c>
      <c r="C410">
        <v>15122020</v>
      </c>
      <c r="D410" t="s">
        <v>138</v>
      </c>
      <c r="E410" t="s">
        <v>787</v>
      </c>
      <c r="F410" t="s">
        <v>139</v>
      </c>
      <c r="G410">
        <v>1</v>
      </c>
      <c r="H410">
        <v>40</v>
      </c>
      <c r="J410">
        <v>17120102</v>
      </c>
      <c r="K410" t="s">
        <v>140</v>
      </c>
      <c r="L410">
        <v>74</v>
      </c>
      <c r="M410">
        <v>74</v>
      </c>
      <c r="W410" t="s">
        <v>851</v>
      </c>
    </row>
    <row r="411" spans="1:23">
      <c r="B411" s="47" t="s">
        <v>866</v>
      </c>
      <c r="C411">
        <v>15122020</v>
      </c>
      <c r="D411" t="s">
        <v>138</v>
      </c>
      <c r="E411" t="s">
        <v>787</v>
      </c>
      <c r="F411" t="s">
        <v>139</v>
      </c>
      <c r="G411">
        <v>2</v>
      </c>
      <c r="H411">
        <v>40</v>
      </c>
      <c r="J411">
        <v>17120103</v>
      </c>
      <c r="K411" t="s">
        <v>140</v>
      </c>
      <c r="L411">
        <v>74</v>
      </c>
      <c r="M411">
        <v>74</v>
      </c>
      <c r="W411" t="s">
        <v>851</v>
      </c>
    </row>
    <row r="412" spans="1:23">
      <c r="B412" s="47" t="s">
        <v>866</v>
      </c>
      <c r="C412">
        <v>15122020</v>
      </c>
      <c r="D412" t="s">
        <v>138</v>
      </c>
      <c r="E412" t="s">
        <v>787</v>
      </c>
      <c r="F412" t="s">
        <v>139</v>
      </c>
      <c r="G412">
        <v>3</v>
      </c>
      <c r="H412">
        <v>50</v>
      </c>
      <c r="J412">
        <v>56110100</v>
      </c>
      <c r="K412" t="s">
        <v>140</v>
      </c>
      <c r="L412">
        <v>148</v>
      </c>
      <c r="M412">
        <v>148</v>
      </c>
      <c r="P412">
        <v>830141404</v>
      </c>
      <c r="W412" t="s">
        <v>851</v>
      </c>
    </row>
    <row r="413" spans="1:23">
      <c r="B413" s="47"/>
      <c r="E413"/>
    </row>
    <row r="414" spans="1:23">
      <c r="A414" t="s">
        <v>192</v>
      </c>
      <c r="B414" s="47" t="s">
        <v>866</v>
      </c>
      <c r="C414">
        <v>15122020</v>
      </c>
      <c r="D414" t="s">
        <v>138</v>
      </c>
      <c r="E414" t="s">
        <v>791</v>
      </c>
      <c r="F414" t="s">
        <v>139</v>
      </c>
      <c r="G414">
        <v>1</v>
      </c>
      <c r="H414">
        <v>40</v>
      </c>
      <c r="J414">
        <v>17120102</v>
      </c>
      <c r="K414" t="s">
        <v>140</v>
      </c>
      <c r="L414">
        <v>46</v>
      </c>
      <c r="M414">
        <v>46</v>
      </c>
      <c r="W414" t="s">
        <v>851</v>
      </c>
    </row>
    <row r="415" spans="1:23">
      <c r="B415" s="47" t="s">
        <v>866</v>
      </c>
      <c r="C415">
        <v>15122020</v>
      </c>
      <c r="D415" t="s">
        <v>138</v>
      </c>
      <c r="E415" t="s">
        <v>791</v>
      </c>
      <c r="F415" t="s">
        <v>139</v>
      </c>
      <c r="G415">
        <v>2</v>
      </c>
      <c r="H415">
        <v>40</v>
      </c>
      <c r="J415">
        <v>17120103</v>
      </c>
      <c r="K415" t="s">
        <v>140</v>
      </c>
      <c r="L415">
        <v>46</v>
      </c>
      <c r="M415">
        <v>46</v>
      </c>
      <c r="W415" t="s">
        <v>851</v>
      </c>
    </row>
    <row r="416" spans="1:23">
      <c r="B416" s="47" t="s">
        <v>866</v>
      </c>
      <c r="C416">
        <v>15122020</v>
      </c>
      <c r="D416" t="s">
        <v>138</v>
      </c>
      <c r="E416" t="s">
        <v>791</v>
      </c>
      <c r="F416" t="s">
        <v>139</v>
      </c>
      <c r="G416">
        <v>3</v>
      </c>
      <c r="H416">
        <v>50</v>
      </c>
      <c r="J416">
        <v>56110100</v>
      </c>
      <c r="K416" t="s">
        <v>140</v>
      </c>
      <c r="L416">
        <v>92</v>
      </c>
      <c r="M416">
        <v>92</v>
      </c>
      <c r="P416">
        <v>830141404</v>
      </c>
      <c r="W416" t="s">
        <v>851</v>
      </c>
    </row>
    <row r="417" spans="1:23">
      <c r="B417" s="47"/>
      <c r="E417"/>
    </row>
    <row r="418" spans="1:23">
      <c r="A418" t="s">
        <v>192</v>
      </c>
      <c r="B418" s="47" t="s">
        <v>880</v>
      </c>
      <c r="C418">
        <v>15122020</v>
      </c>
      <c r="D418" t="s">
        <v>138</v>
      </c>
      <c r="E418" t="s">
        <v>794</v>
      </c>
      <c r="F418" t="s">
        <v>139</v>
      </c>
      <c r="G418">
        <v>1</v>
      </c>
      <c r="H418">
        <v>40</v>
      </c>
      <c r="J418">
        <v>17120102</v>
      </c>
      <c r="K418" t="s">
        <v>140</v>
      </c>
      <c r="L418">
        <v>42</v>
      </c>
      <c r="M418">
        <v>42</v>
      </c>
      <c r="W418" t="s">
        <v>851</v>
      </c>
    </row>
    <row r="419" spans="1:23">
      <c r="B419" s="47" t="s">
        <v>880</v>
      </c>
      <c r="C419">
        <v>15122020</v>
      </c>
      <c r="D419" t="s">
        <v>138</v>
      </c>
      <c r="E419" t="s">
        <v>794</v>
      </c>
      <c r="F419" t="s">
        <v>139</v>
      </c>
      <c r="G419">
        <v>2</v>
      </c>
      <c r="H419">
        <v>40</v>
      </c>
      <c r="J419">
        <v>17120103</v>
      </c>
      <c r="K419" t="s">
        <v>140</v>
      </c>
      <c r="L419">
        <v>42</v>
      </c>
      <c r="M419">
        <v>42</v>
      </c>
      <c r="W419" t="s">
        <v>851</v>
      </c>
    </row>
    <row r="420" spans="1:23">
      <c r="B420" s="47" t="s">
        <v>880</v>
      </c>
      <c r="C420">
        <v>15122020</v>
      </c>
      <c r="D420" t="s">
        <v>138</v>
      </c>
      <c r="E420" t="s">
        <v>794</v>
      </c>
      <c r="F420" t="s">
        <v>139</v>
      </c>
      <c r="G420">
        <v>3</v>
      </c>
      <c r="H420">
        <v>50</v>
      </c>
      <c r="J420">
        <v>56110100</v>
      </c>
      <c r="K420" t="s">
        <v>140</v>
      </c>
      <c r="L420">
        <v>84</v>
      </c>
      <c r="M420">
        <v>84</v>
      </c>
      <c r="P420">
        <v>830141404</v>
      </c>
      <c r="W420" t="s">
        <v>851</v>
      </c>
    </row>
    <row r="421" spans="1:23">
      <c r="B421" s="47"/>
      <c r="E421"/>
    </row>
    <row r="422" spans="1:23">
      <c r="A422" t="s">
        <v>479</v>
      </c>
      <c r="B422" s="47" t="s">
        <v>881</v>
      </c>
      <c r="C422">
        <v>15122020</v>
      </c>
      <c r="D422" t="s">
        <v>138</v>
      </c>
      <c r="E422" t="s">
        <v>799</v>
      </c>
      <c r="F422" t="s">
        <v>139</v>
      </c>
      <c r="G422">
        <v>1</v>
      </c>
      <c r="H422">
        <v>40</v>
      </c>
      <c r="J422">
        <v>56110100</v>
      </c>
      <c r="K422" t="s">
        <v>140</v>
      </c>
      <c r="L422">
        <v>84</v>
      </c>
      <c r="M422">
        <v>84</v>
      </c>
      <c r="P422">
        <v>830141404</v>
      </c>
      <c r="W422" t="s">
        <v>851</v>
      </c>
    </row>
    <row r="423" spans="1:23">
      <c r="B423" s="47" t="s">
        <v>881</v>
      </c>
      <c r="C423">
        <v>15122020</v>
      </c>
      <c r="D423" t="s">
        <v>138</v>
      </c>
      <c r="E423" t="s">
        <v>799</v>
      </c>
      <c r="F423" t="s">
        <v>139</v>
      </c>
      <c r="G423">
        <v>2</v>
      </c>
      <c r="H423">
        <v>50</v>
      </c>
      <c r="J423">
        <v>17120102</v>
      </c>
      <c r="K423" t="s">
        <v>140</v>
      </c>
      <c r="L423">
        <v>42</v>
      </c>
      <c r="M423">
        <v>42</v>
      </c>
      <c r="W423" t="s">
        <v>851</v>
      </c>
    </row>
    <row r="424" spans="1:23">
      <c r="B424" s="47" t="s">
        <v>881</v>
      </c>
      <c r="C424">
        <v>15122020</v>
      </c>
      <c r="D424" t="s">
        <v>138</v>
      </c>
      <c r="E424" t="s">
        <v>799</v>
      </c>
      <c r="F424" t="s">
        <v>139</v>
      </c>
      <c r="G424">
        <v>3</v>
      </c>
      <c r="H424">
        <v>50</v>
      </c>
      <c r="J424">
        <v>17120103</v>
      </c>
      <c r="K424" t="s">
        <v>140</v>
      </c>
      <c r="L424">
        <v>42</v>
      </c>
      <c r="M424">
        <v>42</v>
      </c>
      <c r="W424" t="s">
        <v>851</v>
      </c>
    </row>
    <row r="425" spans="1:23">
      <c r="B425" s="47"/>
      <c r="E425"/>
    </row>
    <row r="426" spans="1:23">
      <c r="A426" t="s">
        <v>192</v>
      </c>
      <c r="B426" s="47" t="s">
        <v>882</v>
      </c>
      <c r="C426">
        <v>15122020</v>
      </c>
      <c r="D426" t="s">
        <v>138</v>
      </c>
      <c r="E426" t="s">
        <v>803</v>
      </c>
      <c r="F426" t="s">
        <v>139</v>
      </c>
      <c r="G426">
        <v>1</v>
      </c>
      <c r="H426">
        <v>40</v>
      </c>
      <c r="J426">
        <v>17120102</v>
      </c>
      <c r="K426" t="s">
        <v>140</v>
      </c>
      <c r="L426">
        <v>35</v>
      </c>
      <c r="M426">
        <v>35</v>
      </c>
      <c r="W426" t="s">
        <v>851</v>
      </c>
    </row>
    <row r="427" spans="1:23">
      <c r="B427" s="47" t="s">
        <v>882</v>
      </c>
      <c r="C427">
        <v>15122020</v>
      </c>
      <c r="D427" t="s">
        <v>138</v>
      </c>
      <c r="E427" t="s">
        <v>803</v>
      </c>
      <c r="F427" t="s">
        <v>139</v>
      </c>
      <c r="G427">
        <v>2</v>
      </c>
      <c r="H427">
        <v>40</v>
      </c>
      <c r="J427">
        <v>17120103</v>
      </c>
      <c r="K427" t="s">
        <v>140</v>
      </c>
      <c r="L427">
        <v>35</v>
      </c>
      <c r="M427">
        <v>35</v>
      </c>
      <c r="W427" t="s">
        <v>851</v>
      </c>
    </row>
    <row r="428" spans="1:23">
      <c r="B428" s="47" t="s">
        <v>882</v>
      </c>
      <c r="C428">
        <v>15122020</v>
      </c>
      <c r="D428" t="s">
        <v>138</v>
      </c>
      <c r="E428" t="s">
        <v>803</v>
      </c>
      <c r="F428" t="s">
        <v>139</v>
      </c>
      <c r="G428">
        <v>3</v>
      </c>
      <c r="H428">
        <v>50</v>
      </c>
      <c r="J428">
        <v>56110100</v>
      </c>
      <c r="K428" t="s">
        <v>140</v>
      </c>
      <c r="L428">
        <v>70</v>
      </c>
      <c r="M428">
        <v>70</v>
      </c>
      <c r="P428">
        <v>830141404</v>
      </c>
      <c r="W428" t="s">
        <v>851</v>
      </c>
    </row>
    <row r="429" spans="1:23">
      <c r="B429" s="47"/>
      <c r="E429"/>
    </row>
    <row r="430" spans="1:23">
      <c r="A430" t="s">
        <v>192</v>
      </c>
      <c r="B430" s="47" t="s">
        <v>866</v>
      </c>
      <c r="C430">
        <v>15122020</v>
      </c>
      <c r="D430" t="s">
        <v>138</v>
      </c>
      <c r="E430" t="s">
        <v>809</v>
      </c>
      <c r="F430" t="s">
        <v>139</v>
      </c>
      <c r="G430">
        <v>1</v>
      </c>
      <c r="H430">
        <v>40</v>
      </c>
      <c r="J430">
        <v>17120102</v>
      </c>
      <c r="K430" t="s">
        <v>140</v>
      </c>
      <c r="L430">
        <v>98</v>
      </c>
      <c r="M430">
        <v>98</v>
      </c>
      <c r="W430" t="s">
        <v>851</v>
      </c>
    </row>
    <row r="431" spans="1:23">
      <c r="B431" s="47" t="s">
        <v>866</v>
      </c>
      <c r="C431">
        <v>15122020</v>
      </c>
      <c r="D431" t="s">
        <v>138</v>
      </c>
      <c r="E431" t="s">
        <v>809</v>
      </c>
      <c r="F431" t="s">
        <v>139</v>
      </c>
      <c r="G431">
        <v>2</v>
      </c>
      <c r="H431">
        <v>40</v>
      </c>
      <c r="J431">
        <v>17120103</v>
      </c>
      <c r="K431" t="s">
        <v>140</v>
      </c>
      <c r="L431">
        <v>98</v>
      </c>
      <c r="M431">
        <v>98</v>
      </c>
      <c r="W431" t="s">
        <v>851</v>
      </c>
    </row>
    <row r="432" spans="1:23">
      <c r="B432" s="47" t="s">
        <v>866</v>
      </c>
      <c r="C432">
        <v>15122020</v>
      </c>
      <c r="D432" t="s">
        <v>138</v>
      </c>
      <c r="E432" t="s">
        <v>809</v>
      </c>
      <c r="F432" t="s">
        <v>139</v>
      </c>
      <c r="G432">
        <v>3</v>
      </c>
      <c r="H432">
        <v>50</v>
      </c>
      <c r="J432">
        <v>56110100</v>
      </c>
      <c r="K432" t="s">
        <v>140</v>
      </c>
      <c r="L432">
        <v>196</v>
      </c>
      <c r="M432">
        <v>196</v>
      </c>
      <c r="P432">
        <v>830141404</v>
      </c>
      <c r="W432" t="s">
        <v>851</v>
      </c>
    </row>
    <row r="433" spans="1:23">
      <c r="B433" s="47"/>
      <c r="E433"/>
    </row>
    <row r="434" spans="1:23">
      <c r="A434" t="s">
        <v>192</v>
      </c>
      <c r="B434" s="47" t="s">
        <v>866</v>
      </c>
      <c r="C434">
        <v>15122020</v>
      </c>
      <c r="D434" t="s">
        <v>138</v>
      </c>
      <c r="E434" t="s">
        <v>814</v>
      </c>
      <c r="F434" t="s">
        <v>139</v>
      </c>
      <c r="G434">
        <v>1</v>
      </c>
      <c r="H434">
        <v>40</v>
      </c>
      <c r="J434">
        <v>17120102</v>
      </c>
      <c r="K434" t="s">
        <v>140</v>
      </c>
      <c r="L434">
        <v>46</v>
      </c>
      <c r="M434">
        <v>46</v>
      </c>
      <c r="W434" t="s">
        <v>851</v>
      </c>
    </row>
    <row r="435" spans="1:23">
      <c r="B435" s="47" t="s">
        <v>866</v>
      </c>
      <c r="C435">
        <v>15122020</v>
      </c>
      <c r="D435" t="s">
        <v>138</v>
      </c>
      <c r="E435" t="s">
        <v>814</v>
      </c>
      <c r="F435" t="s">
        <v>139</v>
      </c>
      <c r="G435">
        <v>2</v>
      </c>
      <c r="H435">
        <v>40</v>
      </c>
      <c r="J435">
        <v>17120103</v>
      </c>
      <c r="K435" t="s">
        <v>140</v>
      </c>
      <c r="L435">
        <v>46</v>
      </c>
      <c r="M435">
        <v>46</v>
      </c>
      <c r="W435" t="s">
        <v>851</v>
      </c>
    </row>
    <row r="436" spans="1:23">
      <c r="B436" s="47" t="s">
        <v>866</v>
      </c>
      <c r="C436">
        <v>15122020</v>
      </c>
      <c r="D436" t="s">
        <v>138</v>
      </c>
      <c r="E436" t="s">
        <v>814</v>
      </c>
      <c r="F436" t="s">
        <v>139</v>
      </c>
      <c r="G436">
        <v>3</v>
      </c>
      <c r="H436">
        <v>50</v>
      </c>
      <c r="J436">
        <v>56110100</v>
      </c>
      <c r="K436" t="s">
        <v>140</v>
      </c>
      <c r="L436">
        <v>92</v>
      </c>
      <c r="M436">
        <v>92</v>
      </c>
      <c r="P436">
        <v>830141404</v>
      </c>
      <c r="W436" t="s">
        <v>851</v>
      </c>
    </row>
    <row r="437" spans="1:23">
      <c r="B437" s="47"/>
      <c r="E437"/>
    </row>
    <row r="438" spans="1:23">
      <c r="A438" t="s">
        <v>192</v>
      </c>
      <c r="B438" s="47" t="s">
        <v>866</v>
      </c>
      <c r="C438">
        <v>15122020</v>
      </c>
      <c r="D438" t="s">
        <v>138</v>
      </c>
      <c r="E438" t="s">
        <v>817</v>
      </c>
      <c r="F438" t="s">
        <v>139</v>
      </c>
      <c r="G438">
        <v>1</v>
      </c>
      <c r="H438">
        <v>40</v>
      </c>
      <c r="J438">
        <v>17120102</v>
      </c>
      <c r="K438" t="s">
        <v>140</v>
      </c>
      <c r="L438">
        <v>73</v>
      </c>
      <c r="M438">
        <v>73</v>
      </c>
      <c r="W438" t="s">
        <v>851</v>
      </c>
    </row>
    <row r="439" spans="1:23">
      <c r="B439" s="47" t="s">
        <v>866</v>
      </c>
      <c r="C439">
        <v>15122020</v>
      </c>
      <c r="D439" t="s">
        <v>138</v>
      </c>
      <c r="E439" t="s">
        <v>817</v>
      </c>
      <c r="F439" t="s">
        <v>139</v>
      </c>
      <c r="G439">
        <v>2</v>
      </c>
      <c r="H439">
        <v>40</v>
      </c>
      <c r="J439">
        <v>17120103</v>
      </c>
      <c r="K439" t="s">
        <v>140</v>
      </c>
      <c r="L439">
        <v>73</v>
      </c>
      <c r="M439">
        <v>73</v>
      </c>
      <c r="W439" t="s">
        <v>851</v>
      </c>
    </row>
    <row r="440" spans="1:23">
      <c r="B440" s="47" t="s">
        <v>866</v>
      </c>
      <c r="C440">
        <v>15122020</v>
      </c>
      <c r="D440" t="s">
        <v>138</v>
      </c>
      <c r="E440" t="s">
        <v>817</v>
      </c>
      <c r="F440" t="s">
        <v>139</v>
      </c>
      <c r="G440">
        <v>3</v>
      </c>
      <c r="H440">
        <v>50</v>
      </c>
      <c r="J440">
        <v>56110100</v>
      </c>
      <c r="K440" t="s">
        <v>140</v>
      </c>
      <c r="L440">
        <v>146</v>
      </c>
      <c r="M440">
        <v>146</v>
      </c>
      <c r="P440">
        <v>830141404</v>
      </c>
      <c r="W440" t="s">
        <v>851</v>
      </c>
    </row>
    <row r="441" spans="1:23">
      <c r="B441" s="47"/>
      <c r="E441"/>
    </row>
    <row r="442" spans="1:23">
      <c r="A442" t="s">
        <v>192</v>
      </c>
      <c r="B442" s="47" t="s">
        <v>866</v>
      </c>
      <c r="C442">
        <v>15122020</v>
      </c>
      <c r="D442" t="s">
        <v>138</v>
      </c>
      <c r="E442" t="s">
        <v>822</v>
      </c>
      <c r="F442" t="s">
        <v>139</v>
      </c>
      <c r="G442">
        <v>1</v>
      </c>
      <c r="H442">
        <v>40</v>
      </c>
      <c r="J442">
        <v>17120102</v>
      </c>
      <c r="K442" t="s">
        <v>140</v>
      </c>
      <c r="L442">
        <v>40</v>
      </c>
      <c r="M442">
        <v>40</v>
      </c>
      <c r="W442" t="s">
        <v>851</v>
      </c>
    </row>
    <row r="443" spans="1:23">
      <c r="B443" s="47" t="s">
        <v>866</v>
      </c>
      <c r="C443">
        <v>15122020</v>
      </c>
      <c r="D443" t="s">
        <v>138</v>
      </c>
      <c r="E443" t="s">
        <v>822</v>
      </c>
      <c r="F443" t="s">
        <v>139</v>
      </c>
      <c r="G443">
        <v>2</v>
      </c>
      <c r="H443">
        <v>40</v>
      </c>
      <c r="J443">
        <v>17120103</v>
      </c>
      <c r="K443" t="s">
        <v>140</v>
      </c>
      <c r="L443">
        <v>40</v>
      </c>
      <c r="M443">
        <v>40</v>
      </c>
      <c r="W443" t="s">
        <v>851</v>
      </c>
    </row>
    <row r="444" spans="1:23">
      <c r="B444" s="47" t="s">
        <v>866</v>
      </c>
      <c r="C444">
        <v>15122020</v>
      </c>
      <c r="D444" t="s">
        <v>138</v>
      </c>
      <c r="E444" t="s">
        <v>822</v>
      </c>
      <c r="F444" t="s">
        <v>139</v>
      </c>
      <c r="G444">
        <v>3</v>
      </c>
      <c r="H444">
        <v>50</v>
      </c>
      <c r="J444">
        <v>56110100</v>
      </c>
      <c r="K444" t="s">
        <v>140</v>
      </c>
      <c r="L444">
        <v>80</v>
      </c>
      <c r="M444">
        <v>80</v>
      </c>
      <c r="P444">
        <v>830141404</v>
      </c>
      <c r="W444" t="s">
        <v>851</v>
      </c>
    </row>
    <row r="445" spans="1:23">
      <c r="B445" s="47"/>
      <c r="E445"/>
    </row>
    <row r="446" spans="1:23">
      <c r="A446" t="s">
        <v>192</v>
      </c>
      <c r="B446" s="47" t="s">
        <v>866</v>
      </c>
      <c r="C446">
        <v>15122020</v>
      </c>
      <c r="D446" t="s">
        <v>138</v>
      </c>
      <c r="E446" t="s">
        <v>825</v>
      </c>
      <c r="F446" t="s">
        <v>139</v>
      </c>
      <c r="G446">
        <v>1</v>
      </c>
      <c r="H446">
        <v>40</v>
      </c>
      <c r="J446">
        <v>17120102</v>
      </c>
      <c r="K446" t="s">
        <v>140</v>
      </c>
      <c r="L446">
        <v>73</v>
      </c>
      <c r="M446">
        <v>73</v>
      </c>
      <c r="W446" t="s">
        <v>851</v>
      </c>
    </row>
    <row r="447" spans="1:23">
      <c r="B447" s="47" t="s">
        <v>866</v>
      </c>
      <c r="C447">
        <v>15122020</v>
      </c>
      <c r="D447" t="s">
        <v>138</v>
      </c>
      <c r="E447" t="s">
        <v>825</v>
      </c>
      <c r="F447" t="s">
        <v>139</v>
      </c>
      <c r="G447">
        <v>2</v>
      </c>
      <c r="H447">
        <v>40</v>
      </c>
      <c r="J447">
        <v>17120103</v>
      </c>
      <c r="K447" t="s">
        <v>140</v>
      </c>
      <c r="L447">
        <v>73</v>
      </c>
      <c r="M447">
        <v>73</v>
      </c>
      <c r="W447" t="s">
        <v>851</v>
      </c>
    </row>
    <row r="448" spans="1:23">
      <c r="B448" s="47" t="s">
        <v>866</v>
      </c>
      <c r="C448">
        <v>15122020</v>
      </c>
      <c r="D448" t="s">
        <v>138</v>
      </c>
      <c r="E448" t="s">
        <v>825</v>
      </c>
      <c r="F448" t="s">
        <v>139</v>
      </c>
      <c r="G448">
        <v>3</v>
      </c>
      <c r="H448">
        <v>50</v>
      </c>
      <c r="J448">
        <v>56110100</v>
      </c>
      <c r="K448" t="s">
        <v>140</v>
      </c>
      <c r="L448">
        <v>146</v>
      </c>
      <c r="M448">
        <v>146</v>
      </c>
      <c r="P448">
        <v>830141404</v>
      </c>
      <c r="W448" t="s">
        <v>851</v>
      </c>
    </row>
    <row r="449" spans="1:23">
      <c r="B449" s="47"/>
      <c r="E449"/>
    </row>
    <row r="450" spans="1:23">
      <c r="A450" t="s">
        <v>192</v>
      </c>
      <c r="B450" s="47" t="s">
        <v>866</v>
      </c>
      <c r="C450">
        <v>15122020</v>
      </c>
      <c r="D450" t="s">
        <v>138</v>
      </c>
      <c r="E450" t="s">
        <v>830</v>
      </c>
      <c r="F450" t="s">
        <v>139</v>
      </c>
      <c r="G450">
        <v>1</v>
      </c>
      <c r="H450">
        <v>40</v>
      </c>
      <c r="J450">
        <v>17120102</v>
      </c>
      <c r="K450" t="s">
        <v>140</v>
      </c>
      <c r="L450">
        <v>45</v>
      </c>
      <c r="M450">
        <v>45</v>
      </c>
      <c r="W450" t="s">
        <v>851</v>
      </c>
    </row>
    <row r="451" spans="1:23">
      <c r="B451" s="47" t="s">
        <v>866</v>
      </c>
      <c r="C451">
        <v>15122020</v>
      </c>
      <c r="D451" t="s">
        <v>138</v>
      </c>
      <c r="E451" t="s">
        <v>830</v>
      </c>
      <c r="F451" t="s">
        <v>139</v>
      </c>
      <c r="G451">
        <v>2</v>
      </c>
      <c r="H451">
        <v>40</v>
      </c>
      <c r="J451">
        <v>17120103</v>
      </c>
      <c r="K451" t="s">
        <v>140</v>
      </c>
      <c r="L451">
        <v>45</v>
      </c>
      <c r="M451">
        <v>45</v>
      </c>
      <c r="W451" t="s">
        <v>851</v>
      </c>
    </row>
    <row r="452" spans="1:23">
      <c r="B452" s="47" t="s">
        <v>866</v>
      </c>
      <c r="C452">
        <v>15122020</v>
      </c>
      <c r="D452" t="s">
        <v>138</v>
      </c>
      <c r="E452" t="s">
        <v>830</v>
      </c>
      <c r="F452" t="s">
        <v>139</v>
      </c>
      <c r="G452">
        <v>3</v>
      </c>
      <c r="H452">
        <v>50</v>
      </c>
      <c r="J452">
        <v>56110100</v>
      </c>
      <c r="K452" t="s">
        <v>140</v>
      </c>
      <c r="L452">
        <v>90</v>
      </c>
      <c r="M452">
        <v>90</v>
      </c>
      <c r="P452">
        <v>830141404</v>
      </c>
      <c r="W452" t="s">
        <v>851</v>
      </c>
    </row>
    <row r="453" spans="1:23">
      <c r="B453" s="47"/>
      <c r="E453"/>
    </row>
    <row r="454" spans="1:23">
      <c r="A454" t="s">
        <v>192</v>
      </c>
      <c r="B454" s="47" t="s">
        <v>853</v>
      </c>
      <c r="C454">
        <v>15122020</v>
      </c>
      <c r="D454" t="s">
        <v>138</v>
      </c>
      <c r="E454" t="s">
        <v>833</v>
      </c>
      <c r="F454" t="s">
        <v>139</v>
      </c>
      <c r="G454">
        <v>1</v>
      </c>
      <c r="H454">
        <v>40</v>
      </c>
      <c r="J454">
        <v>17120100</v>
      </c>
      <c r="K454" t="s">
        <v>140</v>
      </c>
      <c r="L454">
        <v>75</v>
      </c>
      <c r="M454">
        <v>75</v>
      </c>
      <c r="W454" t="s">
        <v>851</v>
      </c>
    </row>
    <row r="455" spans="1:23">
      <c r="B455" s="47" t="s">
        <v>853</v>
      </c>
      <c r="C455">
        <v>15122020</v>
      </c>
      <c r="D455" t="s">
        <v>138</v>
      </c>
      <c r="E455" t="s">
        <v>833</v>
      </c>
      <c r="F455" t="s">
        <v>139</v>
      </c>
      <c r="G455">
        <v>2</v>
      </c>
      <c r="H455">
        <v>50</v>
      </c>
      <c r="J455">
        <v>56110100</v>
      </c>
      <c r="K455" t="s">
        <v>140</v>
      </c>
      <c r="L455">
        <v>75</v>
      </c>
      <c r="M455">
        <v>75</v>
      </c>
      <c r="P455">
        <v>830141404</v>
      </c>
      <c r="W455" t="s">
        <v>851</v>
      </c>
    </row>
    <row r="456" spans="1:23">
      <c r="B456" s="47"/>
      <c r="E456"/>
    </row>
    <row r="457" spans="1:23">
      <c r="A457" t="s">
        <v>192</v>
      </c>
      <c r="B457" s="47" t="s">
        <v>866</v>
      </c>
      <c r="C457">
        <v>15122020</v>
      </c>
      <c r="D457" t="s">
        <v>138</v>
      </c>
      <c r="E457" t="s">
        <v>838</v>
      </c>
      <c r="F457" t="s">
        <v>139</v>
      </c>
      <c r="G457">
        <v>1</v>
      </c>
      <c r="H457">
        <v>40</v>
      </c>
      <c r="J457">
        <v>17120102</v>
      </c>
      <c r="K457" t="s">
        <v>140</v>
      </c>
      <c r="L457">
        <v>83</v>
      </c>
      <c r="M457">
        <v>83</v>
      </c>
      <c r="W457" t="s">
        <v>851</v>
      </c>
    </row>
    <row r="458" spans="1:23">
      <c r="B458" s="47" t="s">
        <v>866</v>
      </c>
      <c r="C458">
        <v>15122020</v>
      </c>
      <c r="D458" t="s">
        <v>138</v>
      </c>
      <c r="E458" t="s">
        <v>838</v>
      </c>
      <c r="F458" t="s">
        <v>139</v>
      </c>
      <c r="G458">
        <v>2</v>
      </c>
      <c r="H458">
        <v>40</v>
      </c>
      <c r="J458">
        <v>17120103</v>
      </c>
      <c r="K458" t="s">
        <v>140</v>
      </c>
      <c r="L458">
        <v>83</v>
      </c>
      <c r="M458">
        <v>83</v>
      </c>
      <c r="W458" t="s">
        <v>851</v>
      </c>
    </row>
    <row r="459" spans="1:23">
      <c r="B459" s="47" t="s">
        <v>866</v>
      </c>
      <c r="C459">
        <v>15122020</v>
      </c>
      <c r="D459" t="s">
        <v>138</v>
      </c>
      <c r="E459" t="s">
        <v>838</v>
      </c>
      <c r="F459" t="s">
        <v>139</v>
      </c>
      <c r="G459">
        <v>3</v>
      </c>
      <c r="H459">
        <v>50</v>
      </c>
      <c r="J459">
        <v>56110100</v>
      </c>
      <c r="K459" t="s">
        <v>140</v>
      </c>
      <c r="L459">
        <v>166</v>
      </c>
      <c r="M459">
        <v>166</v>
      </c>
      <c r="P459">
        <v>830141404</v>
      </c>
      <c r="W459" t="s">
        <v>851</v>
      </c>
    </row>
    <row r="460" spans="1:23">
      <c r="B460" s="47"/>
      <c r="E460"/>
    </row>
    <row r="461" spans="1:23">
      <c r="A461" t="s">
        <v>192</v>
      </c>
      <c r="B461" s="47" t="s">
        <v>883</v>
      </c>
      <c r="C461">
        <v>15122020</v>
      </c>
      <c r="D461" t="s">
        <v>138</v>
      </c>
      <c r="E461" t="s">
        <v>193</v>
      </c>
      <c r="F461" t="s">
        <v>139</v>
      </c>
      <c r="G461">
        <v>1</v>
      </c>
      <c r="H461">
        <v>40</v>
      </c>
      <c r="J461">
        <v>17120100</v>
      </c>
      <c r="K461" t="s">
        <v>140</v>
      </c>
      <c r="L461">
        <v>28347</v>
      </c>
      <c r="M461">
        <v>28347</v>
      </c>
      <c r="W461" t="s">
        <v>884</v>
      </c>
    </row>
    <row r="462" spans="1:23">
      <c r="B462" s="47" t="s">
        <v>883</v>
      </c>
      <c r="C462">
        <v>15122020</v>
      </c>
      <c r="D462" t="s">
        <v>138</v>
      </c>
      <c r="E462" t="s">
        <v>193</v>
      </c>
      <c r="F462" t="s">
        <v>139</v>
      </c>
      <c r="G462">
        <v>2</v>
      </c>
      <c r="H462">
        <v>50</v>
      </c>
      <c r="J462">
        <v>56110100</v>
      </c>
      <c r="K462" t="s">
        <v>140</v>
      </c>
      <c r="L462">
        <v>28347</v>
      </c>
      <c r="M462">
        <v>28347</v>
      </c>
      <c r="P462">
        <v>830141404</v>
      </c>
      <c r="W462" t="s">
        <v>884</v>
      </c>
    </row>
    <row r="463" spans="1:23">
      <c r="B463" s="47"/>
      <c r="E463"/>
    </row>
    <row r="464" spans="1:23">
      <c r="A464" t="s">
        <v>192</v>
      </c>
      <c r="B464" s="47" t="s">
        <v>871</v>
      </c>
      <c r="C464">
        <v>15122020</v>
      </c>
      <c r="D464" t="s">
        <v>138</v>
      </c>
      <c r="E464" t="s">
        <v>348</v>
      </c>
      <c r="F464" t="s">
        <v>139</v>
      </c>
      <c r="G464">
        <v>1</v>
      </c>
      <c r="H464">
        <v>40</v>
      </c>
      <c r="J464">
        <v>17120100</v>
      </c>
      <c r="K464" t="s">
        <v>140</v>
      </c>
      <c r="L464">
        <v>9540</v>
      </c>
      <c r="M464">
        <v>9540</v>
      </c>
      <c r="W464" t="s">
        <v>885</v>
      </c>
    </row>
    <row r="465" spans="1:23">
      <c r="B465" s="47" t="s">
        <v>871</v>
      </c>
      <c r="C465">
        <v>15122020</v>
      </c>
      <c r="D465" t="s">
        <v>138</v>
      </c>
      <c r="E465" t="s">
        <v>348</v>
      </c>
      <c r="F465" t="s">
        <v>139</v>
      </c>
      <c r="G465">
        <v>2</v>
      </c>
      <c r="H465">
        <v>50</v>
      </c>
      <c r="J465">
        <v>56110100</v>
      </c>
      <c r="K465" t="s">
        <v>140</v>
      </c>
      <c r="L465">
        <v>9540</v>
      </c>
      <c r="M465">
        <v>9540</v>
      </c>
      <c r="P465">
        <v>830141404</v>
      </c>
      <c r="W465" t="s">
        <v>885</v>
      </c>
    </row>
    <row r="466" spans="1:23">
      <c r="B466" s="47"/>
      <c r="E466"/>
    </row>
    <row r="467" spans="1:23">
      <c r="A467" t="s">
        <v>192</v>
      </c>
      <c r="B467" s="47" t="s">
        <v>886</v>
      </c>
      <c r="C467">
        <v>15122020</v>
      </c>
      <c r="D467" t="s">
        <v>138</v>
      </c>
      <c r="E467" t="s">
        <v>356</v>
      </c>
      <c r="F467" t="s">
        <v>139</v>
      </c>
      <c r="G467">
        <v>1</v>
      </c>
      <c r="H467">
        <v>40</v>
      </c>
      <c r="J467">
        <v>17120102</v>
      </c>
      <c r="K467" t="s">
        <v>140</v>
      </c>
      <c r="L467">
        <v>1111</v>
      </c>
      <c r="M467">
        <v>1111</v>
      </c>
      <c r="W467" t="s">
        <v>885</v>
      </c>
    </row>
    <row r="468" spans="1:23">
      <c r="B468" s="47" t="s">
        <v>886</v>
      </c>
      <c r="C468">
        <v>15122020</v>
      </c>
      <c r="D468" t="s">
        <v>138</v>
      </c>
      <c r="E468" t="s">
        <v>356</v>
      </c>
      <c r="F468" t="s">
        <v>139</v>
      </c>
      <c r="G468">
        <v>2</v>
      </c>
      <c r="H468">
        <v>40</v>
      </c>
      <c r="J468">
        <v>17120103</v>
      </c>
      <c r="K468" t="s">
        <v>140</v>
      </c>
      <c r="L468">
        <v>1111</v>
      </c>
      <c r="M468">
        <v>1111</v>
      </c>
      <c r="W468" t="s">
        <v>885</v>
      </c>
    </row>
    <row r="469" spans="1:23">
      <c r="B469" s="47" t="s">
        <v>886</v>
      </c>
      <c r="C469">
        <v>15122020</v>
      </c>
      <c r="D469" t="s">
        <v>138</v>
      </c>
      <c r="E469" t="s">
        <v>356</v>
      </c>
      <c r="F469" t="s">
        <v>139</v>
      </c>
      <c r="G469">
        <v>3</v>
      </c>
      <c r="H469">
        <v>50</v>
      </c>
      <c r="J469">
        <v>56110100</v>
      </c>
      <c r="K469" t="s">
        <v>140</v>
      </c>
      <c r="L469">
        <v>2222</v>
      </c>
      <c r="M469">
        <v>2222</v>
      </c>
      <c r="P469">
        <v>830141404</v>
      </c>
      <c r="W469" t="s">
        <v>885</v>
      </c>
    </row>
    <row r="470" spans="1:23">
      <c r="B470" s="47"/>
      <c r="E470"/>
    </row>
    <row r="471" spans="1:23">
      <c r="A471" t="s">
        <v>192</v>
      </c>
      <c r="B471" s="47" t="s">
        <v>886</v>
      </c>
      <c r="C471">
        <v>15122020</v>
      </c>
      <c r="D471" t="s">
        <v>138</v>
      </c>
      <c r="E471" t="s">
        <v>363</v>
      </c>
      <c r="F471" t="s">
        <v>139</v>
      </c>
      <c r="G471">
        <v>1</v>
      </c>
      <c r="H471">
        <v>40</v>
      </c>
      <c r="J471">
        <v>17120102</v>
      </c>
      <c r="K471" t="s">
        <v>140</v>
      </c>
      <c r="L471">
        <v>1111</v>
      </c>
      <c r="M471">
        <v>1111</v>
      </c>
      <c r="W471" t="s">
        <v>885</v>
      </c>
    </row>
    <row r="472" spans="1:23">
      <c r="B472" s="47" t="s">
        <v>886</v>
      </c>
      <c r="C472">
        <v>15122020</v>
      </c>
      <c r="D472" t="s">
        <v>138</v>
      </c>
      <c r="E472" t="s">
        <v>363</v>
      </c>
      <c r="F472" t="s">
        <v>139</v>
      </c>
      <c r="G472">
        <v>2</v>
      </c>
      <c r="H472">
        <v>40</v>
      </c>
      <c r="J472">
        <v>17120103</v>
      </c>
      <c r="K472" t="s">
        <v>140</v>
      </c>
      <c r="L472">
        <v>1111</v>
      </c>
      <c r="M472">
        <v>1111</v>
      </c>
      <c r="W472" t="s">
        <v>885</v>
      </c>
    </row>
    <row r="473" spans="1:23">
      <c r="B473" s="47" t="s">
        <v>886</v>
      </c>
      <c r="C473">
        <v>15122020</v>
      </c>
      <c r="D473" t="s">
        <v>138</v>
      </c>
      <c r="E473" t="s">
        <v>363</v>
      </c>
      <c r="F473" t="s">
        <v>139</v>
      </c>
      <c r="G473">
        <v>3</v>
      </c>
      <c r="H473">
        <v>50</v>
      </c>
      <c r="J473">
        <v>56110100</v>
      </c>
      <c r="K473" t="s">
        <v>140</v>
      </c>
      <c r="L473">
        <v>2222</v>
      </c>
      <c r="M473">
        <v>2222</v>
      </c>
      <c r="P473">
        <v>830141404</v>
      </c>
      <c r="W473" t="s">
        <v>885</v>
      </c>
    </row>
    <row r="474" spans="1:23">
      <c r="B474" s="47"/>
      <c r="E474"/>
    </row>
    <row r="475" spans="1:23">
      <c r="A475" t="s">
        <v>192</v>
      </c>
      <c r="B475" s="47" t="s">
        <v>886</v>
      </c>
      <c r="C475">
        <v>15122020</v>
      </c>
      <c r="D475" t="s">
        <v>138</v>
      </c>
      <c r="E475" t="s">
        <v>368</v>
      </c>
      <c r="F475" t="s">
        <v>139</v>
      </c>
      <c r="G475">
        <v>1</v>
      </c>
      <c r="H475">
        <v>40</v>
      </c>
      <c r="J475">
        <v>17120102</v>
      </c>
      <c r="K475" t="s">
        <v>140</v>
      </c>
      <c r="L475">
        <v>1111</v>
      </c>
      <c r="M475">
        <v>1111</v>
      </c>
      <c r="W475" t="s">
        <v>885</v>
      </c>
    </row>
    <row r="476" spans="1:23">
      <c r="B476" s="47" t="s">
        <v>886</v>
      </c>
      <c r="C476">
        <v>15122020</v>
      </c>
      <c r="D476" t="s">
        <v>138</v>
      </c>
      <c r="E476" t="s">
        <v>368</v>
      </c>
      <c r="F476" t="s">
        <v>139</v>
      </c>
      <c r="G476">
        <v>2</v>
      </c>
      <c r="H476">
        <v>40</v>
      </c>
      <c r="J476">
        <v>17120103</v>
      </c>
      <c r="K476" t="s">
        <v>140</v>
      </c>
      <c r="L476">
        <v>1111</v>
      </c>
      <c r="M476">
        <v>1111</v>
      </c>
      <c r="W476" t="s">
        <v>885</v>
      </c>
    </row>
    <row r="477" spans="1:23">
      <c r="B477" s="47" t="s">
        <v>886</v>
      </c>
      <c r="C477">
        <v>15122020</v>
      </c>
      <c r="D477" t="s">
        <v>138</v>
      </c>
      <c r="E477" t="s">
        <v>368</v>
      </c>
      <c r="F477" t="s">
        <v>139</v>
      </c>
      <c r="G477">
        <v>3</v>
      </c>
      <c r="H477">
        <v>50</v>
      </c>
      <c r="J477">
        <v>56110100</v>
      </c>
      <c r="K477" t="s">
        <v>140</v>
      </c>
      <c r="L477">
        <v>2222</v>
      </c>
      <c r="M477">
        <v>2222</v>
      </c>
      <c r="P477">
        <v>830141404</v>
      </c>
      <c r="W477" t="s">
        <v>885</v>
      </c>
    </row>
    <row r="478" spans="1:23">
      <c r="B478" s="47"/>
      <c r="E478"/>
    </row>
    <row r="479" spans="1:23">
      <c r="A479" t="s">
        <v>192</v>
      </c>
      <c r="B479" s="47" t="s">
        <v>886</v>
      </c>
      <c r="C479">
        <v>15122020</v>
      </c>
      <c r="D479" t="s">
        <v>138</v>
      </c>
      <c r="E479" t="s">
        <v>373</v>
      </c>
      <c r="F479" t="s">
        <v>139</v>
      </c>
      <c r="G479">
        <v>1</v>
      </c>
      <c r="H479">
        <v>40</v>
      </c>
      <c r="J479">
        <v>17120102</v>
      </c>
      <c r="K479" t="s">
        <v>140</v>
      </c>
      <c r="L479">
        <v>1111</v>
      </c>
      <c r="M479">
        <v>1111</v>
      </c>
      <c r="W479" t="s">
        <v>885</v>
      </c>
    </row>
    <row r="480" spans="1:23">
      <c r="B480" s="47" t="s">
        <v>886</v>
      </c>
      <c r="C480">
        <v>15122020</v>
      </c>
      <c r="D480" t="s">
        <v>138</v>
      </c>
      <c r="E480" t="s">
        <v>373</v>
      </c>
      <c r="F480" t="s">
        <v>139</v>
      </c>
      <c r="G480">
        <v>2</v>
      </c>
      <c r="H480">
        <v>40</v>
      </c>
      <c r="J480">
        <v>17120103</v>
      </c>
      <c r="K480" t="s">
        <v>140</v>
      </c>
      <c r="L480">
        <v>1111</v>
      </c>
      <c r="M480">
        <v>1111</v>
      </c>
      <c r="W480" t="s">
        <v>885</v>
      </c>
    </row>
    <row r="481" spans="1:23">
      <c r="B481" s="47" t="s">
        <v>886</v>
      </c>
      <c r="C481">
        <v>15122020</v>
      </c>
      <c r="D481" t="s">
        <v>138</v>
      </c>
      <c r="E481" t="s">
        <v>373</v>
      </c>
      <c r="F481" t="s">
        <v>139</v>
      </c>
      <c r="G481">
        <v>3</v>
      </c>
      <c r="H481">
        <v>50</v>
      </c>
      <c r="J481">
        <v>56110100</v>
      </c>
      <c r="K481" t="s">
        <v>140</v>
      </c>
      <c r="L481">
        <v>2222</v>
      </c>
      <c r="M481">
        <v>2222</v>
      </c>
      <c r="P481">
        <v>830141404</v>
      </c>
      <c r="W481" t="s">
        <v>885</v>
      </c>
    </row>
    <row r="482" spans="1:23">
      <c r="B482" s="47"/>
      <c r="E482"/>
    </row>
    <row r="483" spans="1:23">
      <c r="A483" t="s">
        <v>192</v>
      </c>
      <c r="B483" s="47" t="s">
        <v>886</v>
      </c>
      <c r="C483">
        <v>15122020</v>
      </c>
      <c r="D483" t="s">
        <v>138</v>
      </c>
      <c r="E483" t="s">
        <v>378</v>
      </c>
      <c r="F483" t="s">
        <v>139</v>
      </c>
      <c r="G483">
        <v>1</v>
      </c>
      <c r="H483">
        <v>40</v>
      </c>
      <c r="J483">
        <v>17120102</v>
      </c>
      <c r="K483" t="s">
        <v>140</v>
      </c>
      <c r="L483">
        <v>1111</v>
      </c>
      <c r="M483">
        <v>1111</v>
      </c>
      <c r="W483" t="s">
        <v>885</v>
      </c>
    </row>
    <row r="484" spans="1:23">
      <c r="B484" s="47" t="s">
        <v>886</v>
      </c>
      <c r="C484">
        <v>15122020</v>
      </c>
      <c r="D484" t="s">
        <v>138</v>
      </c>
      <c r="E484" t="s">
        <v>378</v>
      </c>
      <c r="F484" t="s">
        <v>139</v>
      </c>
      <c r="G484">
        <v>2</v>
      </c>
      <c r="H484">
        <v>40</v>
      </c>
      <c r="J484">
        <v>17120103</v>
      </c>
      <c r="K484" t="s">
        <v>140</v>
      </c>
      <c r="L484">
        <v>1111</v>
      </c>
      <c r="M484">
        <v>1111</v>
      </c>
      <c r="W484" t="s">
        <v>885</v>
      </c>
    </row>
    <row r="485" spans="1:23">
      <c r="B485" s="47" t="s">
        <v>886</v>
      </c>
      <c r="C485">
        <v>15122020</v>
      </c>
      <c r="D485" t="s">
        <v>138</v>
      </c>
      <c r="E485" t="s">
        <v>378</v>
      </c>
      <c r="F485" t="s">
        <v>139</v>
      </c>
      <c r="G485">
        <v>3</v>
      </c>
      <c r="H485">
        <v>50</v>
      </c>
      <c r="J485">
        <v>56110100</v>
      </c>
      <c r="K485" t="s">
        <v>140</v>
      </c>
      <c r="L485">
        <v>2222</v>
      </c>
      <c r="M485">
        <v>2222</v>
      </c>
      <c r="P485">
        <v>830141404</v>
      </c>
      <c r="W485" t="s">
        <v>885</v>
      </c>
    </row>
    <row r="486" spans="1:23">
      <c r="B486" s="47"/>
      <c r="E486"/>
    </row>
    <row r="487" spans="1:23">
      <c r="A487" t="s">
        <v>192</v>
      </c>
      <c r="B487" s="47" t="s">
        <v>887</v>
      </c>
      <c r="C487">
        <v>15122020</v>
      </c>
      <c r="D487" t="s">
        <v>138</v>
      </c>
      <c r="E487" t="s">
        <v>383</v>
      </c>
      <c r="F487" t="s">
        <v>139</v>
      </c>
      <c r="G487">
        <v>1</v>
      </c>
      <c r="H487">
        <v>40</v>
      </c>
      <c r="J487">
        <v>17120102</v>
      </c>
      <c r="K487" t="s">
        <v>140</v>
      </c>
      <c r="L487">
        <v>5270.5</v>
      </c>
      <c r="M487">
        <v>5270.5</v>
      </c>
      <c r="W487" t="s">
        <v>885</v>
      </c>
    </row>
    <row r="488" spans="1:23">
      <c r="B488" s="47" t="s">
        <v>887</v>
      </c>
      <c r="C488">
        <v>15122020</v>
      </c>
      <c r="D488" t="s">
        <v>138</v>
      </c>
      <c r="E488" t="s">
        <v>383</v>
      </c>
      <c r="F488" t="s">
        <v>139</v>
      </c>
      <c r="G488">
        <v>2</v>
      </c>
      <c r="H488">
        <v>40</v>
      </c>
      <c r="J488">
        <v>17120103</v>
      </c>
      <c r="K488" t="s">
        <v>140</v>
      </c>
      <c r="L488">
        <v>5270.5</v>
      </c>
      <c r="M488">
        <v>5270.5</v>
      </c>
      <c r="W488" t="s">
        <v>885</v>
      </c>
    </row>
    <row r="489" spans="1:23">
      <c r="B489" s="47" t="s">
        <v>887</v>
      </c>
      <c r="C489">
        <v>15122020</v>
      </c>
      <c r="D489" t="s">
        <v>138</v>
      </c>
      <c r="E489" t="s">
        <v>383</v>
      </c>
      <c r="F489" t="s">
        <v>139</v>
      </c>
      <c r="G489">
        <v>3</v>
      </c>
      <c r="H489">
        <v>50</v>
      </c>
      <c r="J489">
        <v>56110100</v>
      </c>
      <c r="K489" t="s">
        <v>140</v>
      </c>
      <c r="L489">
        <v>10541</v>
      </c>
      <c r="M489">
        <v>10541</v>
      </c>
      <c r="P489">
        <v>830141404</v>
      </c>
      <c r="W489" t="s">
        <v>885</v>
      </c>
    </row>
    <row r="490" spans="1:23">
      <c r="B490" s="47"/>
      <c r="E490"/>
    </row>
    <row r="491" spans="1:23">
      <c r="A491" t="s">
        <v>192</v>
      </c>
      <c r="B491" s="47" t="s">
        <v>888</v>
      </c>
      <c r="C491">
        <v>15122020</v>
      </c>
      <c r="D491" t="s">
        <v>138</v>
      </c>
      <c r="E491" t="s">
        <v>389</v>
      </c>
      <c r="F491" t="s">
        <v>139</v>
      </c>
      <c r="G491">
        <v>1</v>
      </c>
      <c r="H491">
        <v>40</v>
      </c>
      <c r="J491">
        <v>17120102</v>
      </c>
      <c r="K491" t="s">
        <v>140</v>
      </c>
      <c r="L491">
        <v>5296.5</v>
      </c>
      <c r="M491">
        <v>5296.5</v>
      </c>
      <c r="W491" t="s">
        <v>885</v>
      </c>
    </row>
    <row r="492" spans="1:23">
      <c r="B492" s="47" t="s">
        <v>888</v>
      </c>
      <c r="C492">
        <v>15122020</v>
      </c>
      <c r="D492" t="s">
        <v>138</v>
      </c>
      <c r="E492" t="s">
        <v>389</v>
      </c>
      <c r="F492" t="s">
        <v>139</v>
      </c>
      <c r="G492">
        <v>2</v>
      </c>
      <c r="H492">
        <v>40</v>
      </c>
      <c r="J492">
        <v>17120103</v>
      </c>
      <c r="K492" t="s">
        <v>140</v>
      </c>
      <c r="L492">
        <v>5296.5</v>
      </c>
      <c r="M492">
        <v>5296.5</v>
      </c>
      <c r="W492" t="s">
        <v>885</v>
      </c>
    </row>
    <row r="493" spans="1:23">
      <c r="B493" s="47" t="s">
        <v>888</v>
      </c>
      <c r="C493">
        <v>15122020</v>
      </c>
      <c r="D493" t="s">
        <v>138</v>
      </c>
      <c r="E493" t="s">
        <v>389</v>
      </c>
      <c r="F493" t="s">
        <v>139</v>
      </c>
      <c r="G493">
        <v>3</v>
      </c>
      <c r="H493">
        <v>50</v>
      </c>
      <c r="J493">
        <v>56110100</v>
      </c>
      <c r="K493" t="s">
        <v>140</v>
      </c>
      <c r="L493">
        <v>10593</v>
      </c>
      <c r="M493">
        <v>10593</v>
      </c>
      <c r="P493">
        <v>830141404</v>
      </c>
      <c r="W493" t="s">
        <v>885</v>
      </c>
    </row>
    <row r="494" spans="1:23">
      <c r="B494" s="47"/>
      <c r="E494"/>
    </row>
    <row r="495" spans="1:23">
      <c r="A495" t="s">
        <v>192</v>
      </c>
      <c r="B495" s="47" t="s">
        <v>889</v>
      </c>
      <c r="C495">
        <v>15122020</v>
      </c>
      <c r="D495" t="s">
        <v>138</v>
      </c>
      <c r="E495" t="s">
        <v>395</v>
      </c>
      <c r="F495" t="s">
        <v>139</v>
      </c>
      <c r="G495">
        <v>1</v>
      </c>
      <c r="H495">
        <v>40</v>
      </c>
      <c r="J495">
        <v>17120102</v>
      </c>
      <c r="K495" t="s">
        <v>140</v>
      </c>
      <c r="L495">
        <v>5296.5</v>
      </c>
      <c r="M495">
        <v>5296.5</v>
      </c>
      <c r="W495" t="s">
        <v>885</v>
      </c>
    </row>
    <row r="496" spans="1:23">
      <c r="B496" s="47" t="s">
        <v>889</v>
      </c>
      <c r="C496">
        <v>15122020</v>
      </c>
      <c r="D496" t="s">
        <v>138</v>
      </c>
      <c r="E496" t="s">
        <v>395</v>
      </c>
      <c r="F496" t="s">
        <v>139</v>
      </c>
      <c r="G496">
        <v>2</v>
      </c>
      <c r="H496">
        <v>40</v>
      </c>
      <c r="J496">
        <v>17120103</v>
      </c>
      <c r="K496" t="s">
        <v>140</v>
      </c>
      <c r="L496">
        <v>5296.5</v>
      </c>
      <c r="M496">
        <v>5296.5</v>
      </c>
      <c r="W496" t="s">
        <v>885</v>
      </c>
    </row>
    <row r="497" spans="1:23">
      <c r="B497" s="47" t="s">
        <v>889</v>
      </c>
      <c r="C497">
        <v>15122020</v>
      </c>
      <c r="D497" t="s">
        <v>138</v>
      </c>
      <c r="E497" t="s">
        <v>395</v>
      </c>
      <c r="F497" t="s">
        <v>139</v>
      </c>
      <c r="G497">
        <v>3</v>
      </c>
      <c r="H497">
        <v>50</v>
      </c>
      <c r="J497">
        <v>56110100</v>
      </c>
      <c r="K497" t="s">
        <v>140</v>
      </c>
      <c r="L497">
        <v>10593</v>
      </c>
      <c r="M497">
        <v>10593</v>
      </c>
      <c r="P497">
        <v>830141404</v>
      </c>
      <c r="W497" t="s">
        <v>885</v>
      </c>
    </row>
    <row r="498" spans="1:23">
      <c r="B498" s="47"/>
      <c r="E498"/>
    </row>
    <row r="499" spans="1:23">
      <c r="A499" t="s">
        <v>192</v>
      </c>
      <c r="B499" s="47" t="s">
        <v>890</v>
      </c>
      <c r="C499">
        <v>15122020</v>
      </c>
      <c r="D499" t="s">
        <v>138</v>
      </c>
      <c r="E499" t="s">
        <v>401</v>
      </c>
      <c r="F499" t="s">
        <v>139</v>
      </c>
      <c r="G499">
        <v>1</v>
      </c>
      <c r="H499">
        <v>40</v>
      </c>
      <c r="J499">
        <v>17120102</v>
      </c>
      <c r="K499" t="s">
        <v>140</v>
      </c>
      <c r="L499">
        <v>477</v>
      </c>
      <c r="M499">
        <v>477</v>
      </c>
      <c r="W499" t="s">
        <v>885</v>
      </c>
    </row>
    <row r="500" spans="1:23">
      <c r="B500" s="47" t="s">
        <v>890</v>
      </c>
      <c r="C500">
        <v>15122020</v>
      </c>
      <c r="D500" t="s">
        <v>138</v>
      </c>
      <c r="E500" t="s">
        <v>401</v>
      </c>
      <c r="F500" t="s">
        <v>139</v>
      </c>
      <c r="G500">
        <v>2</v>
      </c>
      <c r="H500">
        <v>40</v>
      </c>
      <c r="J500">
        <v>17120103</v>
      </c>
      <c r="K500" t="s">
        <v>140</v>
      </c>
      <c r="L500">
        <v>477</v>
      </c>
      <c r="M500">
        <v>477</v>
      </c>
      <c r="W500" t="s">
        <v>885</v>
      </c>
    </row>
    <row r="501" spans="1:23">
      <c r="B501" s="47" t="s">
        <v>890</v>
      </c>
      <c r="C501">
        <v>15122020</v>
      </c>
      <c r="D501" t="s">
        <v>138</v>
      </c>
      <c r="E501" t="s">
        <v>401</v>
      </c>
      <c r="F501" t="s">
        <v>139</v>
      </c>
      <c r="G501">
        <v>3</v>
      </c>
      <c r="H501">
        <v>50</v>
      </c>
      <c r="J501">
        <v>56110100</v>
      </c>
      <c r="K501" t="s">
        <v>140</v>
      </c>
      <c r="L501">
        <v>954</v>
      </c>
      <c r="M501">
        <v>954</v>
      </c>
      <c r="P501">
        <v>830141404</v>
      </c>
      <c r="W501" t="s">
        <v>885</v>
      </c>
    </row>
    <row r="502" spans="1:23">
      <c r="B502" s="47"/>
      <c r="E502"/>
    </row>
    <row r="503" spans="1:23">
      <c r="A503" t="s">
        <v>136</v>
      </c>
      <c r="B503" s="47" t="s">
        <v>187</v>
      </c>
      <c r="C503">
        <v>15122020</v>
      </c>
      <c r="D503" t="s">
        <v>138</v>
      </c>
      <c r="E503" t="s">
        <v>731</v>
      </c>
      <c r="F503" t="s">
        <v>139</v>
      </c>
      <c r="G503">
        <v>1</v>
      </c>
      <c r="H503">
        <v>40</v>
      </c>
      <c r="J503">
        <v>17120100</v>
      </c>
      <c r="K503" t="s">
        <v>140</v>
      </c>
      <c r="L503">
        <v>2550</v>
      </c>
      <c r="M503">
        <v>2550</v>
      </c>
      <c r="W503" t="s">
        <v>891</v>
      </c>
    </row>
    <row r="504" spans="1:23">
      <c r="B504" s="47" t="s">
        <v>187</v>
      </c>
      <c r="C504">
        <v>15122020</v>
      </c>
      <c r="D504" t="s">
        <v>138</v>
      </c>
      <c r="E504" t="s">
        <v>731</v>
      </c>
      <c r="F504" t="s">
        <v>139</v>
      </c>
      <c r="G504">
        <v>2</v>
      </c>
      <c r="H504">
        <v>50</v>
      </c>
      <c r="J504">
        <v>56110100</v>
      </c>
      <c r="K504" t="s">
        <v>140</v>
      </c>
      <c r="L504">
        <v>2550</v>
      </c>
      <c r="M504">
        <v>2550</v>
      </c>
      <c r="P504">
        <v>830141404</v>
      </c>
      <c r="W504" t="s">
        <v>891</v>
      </c>
    </row>
    <row r="505" spans="1:23">
      <c r="B505" s="47"/>
      <c r="E505"/>
    </row>
    <row r="506" spans="1:23">
      <c r="A506" t="s">
        <v>136</v>
      </c>
      <c r="B506" s="47" t="s">
        <v>187</v>
      </c>
      <c r="C506">
        <v>15122020</v>
      </c>
      <c r="D506" t="s">
        <v>138</v>
      </c>
      <c r="E506" t="s">
        <v>737</v>
      </c>
      <c r="F506" t="s">
        <v>139</v>
      </c>
      <c r="G506">
        <v>1</v>
      </c>
      <c r="H506">
        <v>40</v>
      </c>
      <c r="J506">
        <v>17120100</v>
      </c>
      <c r="K506" t="s">
        <v>140</v>
      </c>
      <c r="L506">
        <v>2582</v>
      </c>
      <c r="M506">
        <v>2582</v>
      </c>
      <c r="W506" t="s">
        <v>891</v>
      </c>
    </row>
    <row r="507" spans="1:23">
      <c r="B507" s="47" t="s">
        <v>187</v>
      </c>
      <c r="C507">
        <v>15122020</v>
      </c>
      <c r="D507" t="s">
        <v>138</v>
      </c>
      <c r="E507" t="s">
        <v>737</v>
      </c>
      <c r="F507" t="s">
        <v>139</v>
      </c>
      <c r="G507">
        <v>2</v>
      </c>
      <c r="H507">
        <v>50</v>
      </c>
      <c r="J507">
        <v>56110100</v>
      </c>
      <c r="K507" t="s">
        <v>140</v>
      </c>
      <c r="L507">
        <v>2582</v>
      </c>
      <c r="M507">
        <v>2582</v>
      </c>
      <c r="P507">
        <v>830141404</v>
      </c>
      <c r="W507" t="s">
        <v>891</v>
      </c>
    </row>
    <row r="508" spans="1:23">
      <c r="B508" s="47"/>
      <c r="E508"/>
    </row>
    <row r="509" spans="1:23">
      <c r="B509" s="47"/>
      <c r="E509"/>
    </row>
    <row r="510" spans="1:23">
      <c r="B510" s="47"/>
      <c r="E510"/>
    </row>
    <row r="511" spans="1:23">
      <c r="B511" s="47"/>
      <c r="E511"/>
    </row>
    <row r="512" spans="1:23">
      <c r="B512" s="47"/>
      <c r="E512"/>
    </row>
    <row r="513" spans="2:5">
      <c r="B513" s="47"/>
      <c r="E513"/>
    </row>
    <row r="514" spans="2:5">
      <c r="B514" s="47"/>
      <c r="E514"/>
    </row>
    <row r="515" spans="2:5">
      <c r="B515" s="47"/>
      <c r="E515"/>
    </row>
    <row r="516" spans="2:5">
      <c r="B516" s="47"/>
      <c r="E516"/>
    </row>
    <row r="517" spans="2:5">
      <c r="B517" s="47"/>
      <c r="E517"/>
    </row>
    <row r="518" spans="2:5">
      <c r="B518" s="47"/>
      <c r="E518"/>
    </row>
    <row r="519" spans="2:5">
      <c r="B519" s="47"/>
      <c r="E519"/>
    </row>
    <row r="520" spans="2:5">
      <c r="B520" s="47"/>
      <c r="E520"/>
    </row>
    <row r="521" spans="2:5">
      <c r="B521" s="47"/>
      <c r="E521"/>
    </row>
    <row r="522" spans="2:5">
      <c r="B522" s="47"/>
      <c r="E522"/>
    </row>
    <row r="523" spans="2:5">
      <c r="B523" s="47"/>
      <c r="E523"/>
    </row>
    <row r="524" spans="2:5">
      <c r="B524" s="47"/>
      <c r="E524"/>
    </row>
    <row r="525" spans="2:5">
      <c r="B525" s="47"/>
      <c r="E525"/>
    </row>
    <row r="526" spans="2:5">
      <c r="B526" s="47"/>
      <c r="E526"/>
    </row>
    <row r="527" spans="2:5">
      <c r="B527" s="47"/>
      <c r="E527"/>
    </row>
    <row r="528" spans="2:5">
      <c r="B528" s="47"/>
      <c r="E528"/>
    </row>
    <row r="529" spans="2:5">
      <c r="B529" s="47"/>
      <c r="E529"/>
    </row>
    <row r="530" spans="2:5">
      <c r="B530" s="47"/>
      <c r="E530"/>
    </row>
    <row r="531" spans="2:5">
      <c r="B531" s="47"/>
      <c r="E531"/>
    </row>
    <row r="532" spans="2:5">
      <c r="B532" s="47"/>
      <c r="E532"/>
    </row>
    <row r="533" spans="2:5">
      <c r="B533" s="47"/>
      <c r="E533"/>
    </row>
    <row r="534" spans="2:5">
      <c r="B534" s="47"/>
      <c r="E534"/>
    </row>
    <row r="535" spans="2:5">
      <c r="B535" s="47"/>
      <c r="E535"/>
    </row>
    <row r="536" spans="2:5">
      <c r="B536" s="47"/>
      <c r="E536"/>
    </row>
    <row r="537" spans="2:5">
      <c r="B537" s="47"/>
      <c r="E537"/>
    </row>
    <row r="538" spans="2:5">
      <c r="B538" s="47"/>
      <c r="E538"/>
    </row>
    <row r="539" spans="2:5">
      <c r="B539" s="47"/>
      <c r="E539"/>
    </row>
    <row r="540" spans="2:5">
      <c r="B540" s="47"/>
      <c r="E540"/>
    </row>
    <row r="541" spans="2:5">
      <c r="B541" s="47"/>
      <c r="E541"/>
    </row>
    <row r="542" spans="2:5">
      <c r="B542" s="47"/>
      <c r="E542"/>
    </row>
    <row r="543" spans="2:5">
      <c r="B543" s="47"/>
      <c r="E543"/>
    </row>
    <row r="544" spans="2:5">
      <c r="B544" s="47"/>
      <c r="E544"/>
    </row>
    <row r="545" spans="2:5">
      <c r="B545" s="47"/>
      <c r="E545"/>
    </row>
    <row r="546" spans="2:5">
      <c r="B546" s="47"/>
      <c r="E546"/>
    </row>
    <row r="547" spans="2:5">
      <c r="B547" s="47"/>
      <c r="E547"/>
    </row>
    <row r="548" spans="2:5">
      <c r="B548" s="47"/>
      <c r="E548"/>
    </row>
    <row r="549" spans="2:5">
      <c r="B549" s="47"/>
      <c r="E549"/>
    </row>
    <row r="550" spans="2:5">
      <c r="B550" s="47"/>
      <c r="E550"/>
    </row>
    <row r="551" spans="2:5">
      <c r="B551" s="47"/>
      <c r="E551"/>
    </row>
    <row r="552" spans="2:5">
      <c r="B552" s="47"/>
      <c r="E552"/>
    </row>
    <row r="553" spans="2:5">
      <c r="B553" s="47"/>
      <c r="E553"/>
    </row>
    <row r="554" spans="2:5">
      <c r="B554" s="47"/>
      <c r="E554"/>
    </row>
    <row r="555" spans="2:5">
      <c r="B555" s="47"/>
      <c r="E555"/>
    </row>
    <row r="556" spans="2:5">
      <c r="B556" s="47"/>
      <c r="E556"/>
    </row>
    <row r="557" spans="2:5">
      <c r="B557" s="47"/>
      <c r="E557"/>
    </row>
    <row r="558" spans="2:5">
      <c r="B558" s="47"/>
      <c r="E558"/>
    </row>
    <row r="559" spans="2:5">
      <c r="B559" s="47"/>
      <c r="E559"/>
    </row>
    <row r="560" spans="2:5">
      <c r="B560" s="47"/>
      <c r="E560"/>
    </row>
    <row r="561" spans="2:5">
      <c r="B561" s="47"/>
      <c r="E561"/>
    </row>
  </sheetData>
  <dataConsolidate/>
  <mergeCells count="77">
    <mergeCell ref="G8:J9"/>
    <mergeCell ref="C5:E5"/>
    <mergeCell ref="C6:E6"/>
    <mergeCell ref="B8:B9"/>
    <mergeCell ref="F8:F9"/>
    <mergeCell ref="C8:E9"/>
    <mergeCell ref="V10:W10"/>
    <mergeCell ref="K8:M8"/>
    <mergeCell ref="N8:P8"/>
    <mergeCell ref="Q8:R9"/>
    <mergeCell ref="S8:U8"/>
    <mergeCell ref="V8:W9"/>
    <mergeCell ref="K9:M9"/>
    <mergeCell ref="N9:O9"/>
    <mergeCell ref="S9:T9"/>
    <mergeCell ref="G10:J10"/>
    <mergeCell ref="K10:M10"/>
    <mergeCell ref="N10:O10"/>
    <mergeCell ref="Q10:R10"/>
    <mergeCell ref="S10:T10"/>
    <mergeCell ref="V12:W12"/>
    <mergeCell ref="G11:J11"/>
    <mergeCell ref="K11:M11"/>
    <mergeCell ref="N11:O11"/>
    <mergeCell ref="Q11:R11"/>
    <mergeCell ref="S11:T11"/>
    <mergeCell ref="V11:W11"/>
    <mergeCell ref="G12:J12"/>
    <mergeCell ref="K12:M12"/>
    <mergeCell ref="N12:O12"/>
    <mergeCell ref="Q12:R12"/>
    <mergeCell ref="S12:T12"/>
    <mergeCell ref="V14:W14"/>
    <mergeCell ref="G13:J13"/>
    <mergeCell ref="K13:M13"/>
    <mergeCell ref="N13:O13"/>
    <mergeCell ref="Q13:R13"/>
    <mergeCell ref="S13:T13"/>
    <mergeCell ref="V13:W13"/>
    <mergeCell ref="G14:J14"/>
    <mergeCell ref="K14:M14"/>
    <mergeCell ref="N14:O14"/>
    <mergeCell ref="Q14:R14"/>
    <mergeCell ref="S14:T14"/>
    <mergeCell ref="V16:W16"/>
    <mergeCell ref="G15:J15"/>
    <mergeCell ref="K15:M15"/>
    <mergeCell ref="N15:O15"/>
    <mergeCell ref="Q15:R15"/>
    <mergeCell ref="S15:T15"/>
    <mergeCell ref="V15:W15"/>
    <mergeCell ref="G16:J16"/>
    <mergeCell ref="K16:M16"/>
    <mergeCell ref="N16:O16"/>
    <mergeCell ref="Q16:R16"/>
    <mergeCell ref="S16:T16"/>
    <mergeCell ref="V18:W18"/>
    <mergeCell ref="G17:J17"/>
    <mergeCell ref="K17:M17"/>
    <mergeCell ref="N17:O17"/>
    <mergeCell ref="Q17:R17"/>
    <mergeCell ref="S17:T17"/>
    <mergeCell ref="V17:W17"/>
    <mergeCell ref="G18:J18"/>
    <mergeCell ref="K18:M18"/>
    <mergeCell ref="N18:O18"/>
    <mergeCell ref="Q18:R18"/>
    <mergeCell ref="S18:T18"/>
    <mergeCell ref="G20:J20"/>
    <mergeCell ref="W22:X22"/>
    <mergeCell ref="A23:A24"/>
    <mergeCell ref="G19:J19"/>
    <mergeCell ref="K19:M19"/>
    <mergeCell ref="N19:O19"/>
    <mergeCell ref="Q19:R19"/>
    <mergeCell ref="S19:T19"/>
    <mergeCell ref="V19:W19"/>
  </mergeCells>
  <conditionalFormatting sqref="N8:R19">
    <cfRule type="expression" dxfId="2" priority="4" stopIfTrue="1">
      <formula>#REF!="Recurring Journal"</formula>
    </cfRule>
  </conditionalFormatting>
  <conditionalFormatting sqref="K8:M19">
    <cfRule type="expression" dxfId="1" priority="5" stopIfTrue="1">
      <formula>#REF!="Accrual with auto reversal"</formula>
    </cfRule>
  </conditionalFormatting>
  <conditionalFormatting sqref="S8:W19">
    <cfRule type="expression" dxfId="0" priority="6" stopIfTrue="1">
      <formula>#REF!="Post with Clearing Journal"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ED8468-B3E8-44E7-BF33-A07EEC61A977}">
          <x14:formula1>
            <xm:f>'C:\Users\kzbp117\Box Sync\AZ Robotic &amp; Cognitive Centre - Delivery\02 Phase 2 Onwards\Finance\239 - GST Rebate Claim and Processing\02. Plan Phase\[JV Template.xlsx]Data'!#REF!</xm:f>
          </x14:formula1>
          <xm:sqref>C6:E6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0AA0-64C2-40F1-A2FE-8EE808A483E1}">
  <sheetPr codeName="Sheet7"/>
  <dimension ref="A7:A8"/>
  <sheetViews>
    <sheetView workbookViewId="0">
      <selection activeCell="F10" sqref="F10"/>
    </sheetView>
  </sheetViews>
  <sheetFormatPr defaultRowHeight="15"/>
  <cols>
    <col min="9" max="9" width="11.42578125" customWidth="1"/>
  </cols>
  <sheetData>
    <row r="7" ht="33.6" customHeight="1"/>
    <row r="8" ht="18.9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JV_Creation_FromButtion">
                <anchor moveWithCells="1" sizeWithCells="1">
                  <from>
                    <xdr:col>7</xdr:col>
                    <xdr:colOff>571500</xdr:colOff>
                    <xdr:row>6</xdr:row>
                    <xdr:rowOff>9525</xdr:rowOff>
                  </from>
                  <to>
                    <xdr:col>10</xdr:col>
                    <xdr:colOff>371475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8CB70-8CD0-4D57-8265-BC124CFB4406}">
  <sheetPr codeName="Sheet1"/>
  <dimension ref="A1:Z152"/>
  <sheetViews>
    <sheetView topLeftCell="H1" workbookViewId="0">
      <selection activeCell="X1" sqref="X1:X1048576"/>
    </sheetView>
  </sheetViews>
  <sheetFormatPr defaultRowHeight="15"/>
  <cols>
    <col min="1" max="1" width="15.85546875" customWidth="1"/>
    <col min="2" max="2" width="8.7109375" style="75"/>
    <col min="3" max="3" width="25.28515625" style="47" customWidth="1"/>
    <col min="4" max="4" width="17.85546875" style="47" customWidth="1"/>
    <col min="5" max="5" width="35.5703125" style="77" bestFit="1" customWidth="1"/>
    <col min="6" max="6" width="18.5703125" style="47" customWidth="1"/>
    <col min="7" max="7" width="17.5703125" bestFit="1" customWidth="1"/>
    <col min="8" max="8" width="43.5703125" bestFit="1" customWidth="1"/>
    <col min="10" max="10" width="17.42578125" style="47" bestFit="1" customWidth="1"/>
    <col min="12" max="12" width="8.7109375" style="63"/>
    <col min="19" max="19" width="15.42578125" bestFit="1" customWidth="1"/>
    <col min="20" max="20" width="13.42578125" hidden="1" customWidth="1"/>
    <col min="21" max="21" width="7.140625" hidden="1" customWidth="1"/>
    <col min="22" max="22" width="153.28515625" hidden="1" customWidth="1"/>
    <col min="23" max="23" width="151.140625" hidden="1" customWidth="1"/>
    <col min="24" max="24" width="10.28515625" hidden="1" customWidth="1"/>
  </cols>
  <sheetData>
    <row r="1" spans="1:26" ht="30">
      <c r="A1" s="3" t="s">
        <v>141</v>
      </c>
      <c r="B1" s="3" t="s">
        <v>142</v>
      </c>
      <c r="C1" s="49" t="s">
        <v>143</v>
      </c>
      <c r="D1" s="49" t="s">
        <v>144</v>
      </c>
      <c r="E1" s="49" t="s">
        <v>145</v>
      </c>
      <c r="F1" s="46" t="s">
        <v>146</v>
      </c>
      <c r="G1" s="3" t="s">
        <v>147</v>
      </c>
      <c r="H1" s="3" t="s">
        <v>148</v>
      </c>
      <c r="I1" s="3" t="s">
        <v>149</v>
      </c>
      <c r="J1" s="46" t="s">
        <v>150</v>
      </c>
      <c r="K1" s="3" t="s">
        <v>151</v>
      </c>
      <c r="L1" s="74" t="s">
        <v>152</v>
      </c>
      <c r="M1" s="43" t="s">
        <v>153</v>
      </c>
      <c r="N1" s="3" t="s">
        <v>154</v>
      </c>
      <c r="O1" s="3" t="s">
        <v>155</v>
      </c>
      <c r="P1" s="3" t="s">
        <v>156</v>
      </c>
      <c r="Q1" s="3" t="s">
        <v>157</v>
      </c>
      <c r="R1" s="3" t="s">
        <v>158</v>
      </c>
      <c r="S1" s="3" t="s">
        <v>159</v>
      </c>
      <c r="T1" s="4" t="s">
        <v>160</v>
      </c>
      <c r="U1" s="4" t="s">
        <v>161</v>
      </c>
      <c r="V1" s="4" t="s">
        <v>162</v>
      </c>
      <c r="W1" s="4" t="s">
        <v>163</v>
      </c>
      <c r="X1" s="4" t="s">
        <v>64</v>
      </c>
      <c r="Y1" s="4" t="s">
        <v>175</v>
      </c>
      <c r="Z1" t="s">
        <v>181</v>
      </c>
    </row>
    <row r="2" spans="1:26">
      <c r="A2" t="s">
        <v>707</v>
      </c>
      <c r="B2" s="75" t="s">
        <v>136</v>
      </c>
      <c r="C2" s="47" t="s">
        <v>165</v>
      </c>
      <c r="D2" s="47" t="s">
        <v>165</v>
      </c>
      <c r="E2" s="77" t="s">
        <v>708</v>
      </c>
      <c r="F2" s="47" t="s">
        <v>709</v>
      </c>
      <c r="G2" t="s">
        <v>710</v>
      </c>
      <c r="H2" t="s">
        <v>164</v>
      </c>
      <c r="J2" s="47" t="s">
        <v>165</v>
      </c>
      <c r="K2" t="s">
        <v>711</v>
      </c>
      <c r="L2" s="63" t="s">
        <v>176</v>
      </c>
      <c r="M2">
        <v>7182</v>
      </c>
      <c r="N2">
        <v>5964</v>
      </c>
      <c r="O2">
        <v>0</v>
      </c>
      <c r="P2">
        <v>0</v>
      </c>
      <c r="Q2">
        <v>297</v>
      </c>
      <c r="R2">
        <v>0</v>
      </c>
      <c r="S2">
        <v>7479</v>
      </c>
      <c r="T2" t="s">
        <v>712</v>
      </c>
      <c r="U2" t="s">
        <v>182</v>
      </c>
      <c r="V2" t="s">
        <v>713</v>
      </c>
      <c r="W2" t="s">
        <v>714</v>
      </c>
      <c r="X2" s="73" t="str">
        <f>HYPERLINK(V2,"Open CSV")</f>
        <v>Open CSV</v>
      </c>
      <c r="Y2" s="73" t="str">
        <f>HYPERLINK(W2,"Open PDF")</f>
        <v>Open PDF</v>
      </c>
      <c r="Z2" t="s">
        <v>182</v>
      </c>
    </row>
    <row r="3" spans="1:26">
      <c r="A3" t="s">
        <v>201</v>
      </c>
      <c r="B3" s="75" t="s">
        <v>192</v>
      </c>
      <c r="C3" s="47" t="s">
        <v>165</v>
      </c>
      <c r="D3" s="47" t="s">
        <v>165</v>
      </c>
      <c r="E3" s="76" t="s">
        <v>202</v>
      </c>
      <c r="F3" s="47" t="s">
        <v>203</v>
      </c>
      <c r="G3" t="s">
        <v>204</v>
      </c>
      <c r="H3" t="s">
        <v>164</v>
      </c>
      <c r="I3" t="s">
        <v>205</v>
      </c>
      <c r="J3" s="47" t="s">
        <v>206</v>
      </c>
      <c r="L3" s="63" t="s">
        <v>185</v>
      </c>
      <c r="M3">
        <v>230542</v>
      </c>
      <c r="N3">
        <v>220750</v>
      </c>
      <c r="O3">
        <v>0</v>
      </c>
      <c r="P3">
        <v>0</v>
      </c>
      <c r="Q3">
        <v>26490</v>
      </c>
      <c r="R3">
        <v>0</v>
      </c>
      <c r="S3">
        <v>257032</v>
      </c>
      <c r="T3" t="s">
        <v>207</v>
      </c>
      <c r="U3" t="s">
        <v>182</v>
      </c>
      <c r="V3" t="s">
        <v>208</v>
      </c>
      <c r="W3" t="s">
        <v>209</v>
      </c>
      <c r="X3" s="73" t="str">
        <f t="shared" ref="X3:X66" si="0">HYPERLINK(V3,"Open CSV")</f>
        <v>Open CSV</v>
      </c>
      <c r="Y3" s="73" t="str">
        <f t="shared" ref="Y3:Y66" si="1">HYPERLINK(W3,"Open PDF")</f>
        <v>Open PDF</v>
      </c>
      <c r="Z3" t="s">
        <v>182</v>
      </c>
    </row>
    <row r="4" spans="1:26">
      <c r="A4" t="s">
        <v>201</v>
      </c>
      <c r="B4" s="75" t="s">
        <v>192</v>
      </c>
      <c r="C4" s="47" t="s">
        <v>165</v>
      </c>
      <c r="D4" s="47" t="s">
        <v>165</v>
      </c>
      <c r="E4" s="76" t="s">
        <v>210</v>
      </c>
      <c r="F4" s="47" t="s">
        <v>183</v>
      </c>
      <c r="G4" t="s">
        <v>211</v>
      </c>
      <c r="H4" t="s">
        <v>164</v>
      </c>
      <c r="I4" t="s">
        <v>212</v>
      </c>
      <c r="J4" s="47" t="s">
        <v>213</v>
      </c>
      <c r="L4" s="63" t="s">
        <v>185</v>
      </c>
      <c r="M4">
        <v>40569</v>
      </c>
      <c r="N4">
        <v>37000</v>
      </c>
      <c r="O4" s="51">
        <v>0</v>
      </c>
      <c r="P4" s="51">
        <v>0</v>
      </c>
      <c r="Q4">
        <v>1850</v>
      </c>
      <c r="R4">
        <v>0</v>
      </c>
      <c r="S4">
        <v>42419</v>
      </c>
      <c r="T4" t="s">
        <v>207</v>
      </c>
      <c r="U4" t="s">
        <v>182</v>
      </c>
      <c r="V4" t="s">
        <v>214</v>
      </c>
      <c r="W4" t="s">
        <v>215</v>
      </c>
      <c r="X4" s="73" t="str">
        <f t="shared" si="0"/>
        <v>Open CSV</v>
      </c>
      <c r="Y4" s="73" t="str">
        <f t="shared" si="1"/>
        <v>Open PDF</v>
      </c>
      <c r="Z4" t="s">
        <v>182</v>
      </c>
    </row>
    <row r="5" spans="1:26">
      <c r="A5" t="s">
        <v>201</v>
      </c>
      <c r="B5" s="75" t="s">
        <v>192</v>
      </c>
      <c r="C5" s="47" t="s">
        <v>165</v>
      </c>
      <c r="D5" s="47" t="s">
        <v>165</v>
      </c>
      <c r="E5" s="76" t="s">
        <v>216</v>
      </c>
      <c r="F5" s="47" t="s">
        <v>183</v>
      </c>
      <c r="G5" t="s">
        <v>211</v>
      </c>
      <c r="H5" t="s">
        <v>164</v>
      </c>
      <c r="I5" t="s">
        <v>217</v>
      </c>
      <c r="J5" s="47" t="s">
        <v>218</v>
      </c>
      <c r="L5" s="63" t="s">
        <v>185</v>
      </c>
      <c r="M5">
        <v>26246</v>
      </c>
      <c r="N5">
        <v>22615</v>
      </c>
      <c r="O5">
        <v>0</v>
      </c>
      <c r="P5">
        <v>0</v>
      </c>
      <c r="Q5">
        <v>1131</v>
      </c>
      <c r="R5">
        <v>0</v>
      </c>
      <c r="S5">
        <v>27377</v>
      </c>
      <c r="T5" t="s">
        <v>207</v>
      </c>
      <c r="U5" t="s">
        <v>182</v>
      </c>
      <c r="V5" t="s">
        <v>219</v>
      </c>
      <c r="W5" t="s">
        <v>220</v>
      </c>
      <c r="X5" s="73" t="str">
        <f t="shared" si="0"/>
        <v>Open CSV</v>
      </c>
      <c r="Y5" s="73" t="str">
        <f t="shared" si="1"/>
        <v>Open PDF</v>
      </c>
      <c r="Z5" t="s">
        <v>182</v>
      </c>
    </row>
    <row r="6" spans="1:26">
      <c r="A6" t="s">
        <v>201</v>
      </c>
      <c r="B6" s="75" t="s">
        <v>192</v>
      </c>
      <c r="C6" s="47" t="s">
        <v>165</v>
      </c>
      <c r="D6" s="47" t="s">
        <v>165</v>
      </c>
      <c r="E6" s="76" t="s">
        <v>221</v>
      </c>
      <c r="F6" s="47" t="s">
        <v>183</v>
      </c>
      <c r="G6" t="s">
        <v>211</v>
      </c>
      <c r="H6" t="s">
        <v>164</v>
      </c>
      <c r="I6" t="s">
        <v>222</v>
      </c>
      <c r="J6" s="47" t="s">
        <v>223</v>
      </c>
      <c r="L6" s="63" t="s">
        <v>185</v>
      </c>
      <c r="M6">
        <v>26246</v>
      </c>
      <c r="N6">
        <v>22615</v>
      </c>
      <c r="O6">
        <v>0</v>
      </c>
      <c r="P6">
        <v>0</v>
      </c>
      <c r="Q6">
        <v>1131</v>
      </c>
      <c r="R6">
        <v>0</v>
      </c>
      <c r="S6">
        <v>27377</v>
      </c>
      <c r="T6" t="s">
        <v>207</v>
      </c>
      <c r="U6" t="s">
        <v>182</v>
      </c>
      <c r="V6" t="s">
        <v>224</v>
      </c>
      <c r="W6" t="s">
        <v>225</v>
      </c>
      <c r="X6" s="73" t="str">
        <f t="shared" si="0"/>
        <v>Open CSV</v>
      </c>
      <c r="Y6" s="73" t="str">
        <f t="shared" si="1"/>
        <v>Open PDF</v>
      </c>
      <c r="Z6" t="s">
        <v>182</v>
      </c>
    </row>
    <row r="7" spans="1:26">
      <c r="A7" t="s">
        <v>201</v>
      </c>
      <c r="B7" s="75" t="s">
        <v>192</v>
      </c>
      <c r="C7" s="47" t="s">
        <v>165</v>
      </c>
      <c r="D7" s="47" t="s">
        <v>165</v>
      </c>
      <c r="E7" s="76" t="s">
        <v>226</v>
      </c>
      <c r="F7" s="47" t="s">
        <v>227</v>
      </c>
      <c r="G7" t="s">
        <v>204</v>
      </c>
      <c r="H7" t="s">
        <v>164</v>
      </c>
      <c r="I7" t="s">
        <v>228</v>
      </c>
      <c r="J7" s="47" t="s">
        <v>229</v>
      </c>
      <c r="L7" s="63" t="s">
        <v>185</v>
      </c>
      <c r="M7">
        <v>229926</v>
      </c>
      <c r="N7">
        <v>220750</v>
      </c>
      <c r="O7" s="51">
        <v>0</v>
      </c>
      <c r="P7" s="51">
        <v>0</v>
      </c>
      <c r="Q7">
        <v>26490</v>
      </c>
      <c r="R7">
        <v>0</v>
      </c>
      <c r="S7">
        <v>256416</v>
      </c>
      <c r="T7" t="s">
        <v>207</v>
      </c>
      <c r="U7" t="s">
        <v>182</v>
      </c>
      <c r="V7" t="s">
        <v>230</v>
      </c>
      <c r="W7" t="s">
        <v>231</v>
      </c>
      <c r="X7" s="73" t="str">
        <f t="shared" si="0"/>
        <v>Open CSV</v>
      </c>
      <c r="Y7" s="73" t="str">
        <f t="shared" si="1"/>
        <v>Open PDF</v>
      </c>
      <c r="Z7" t="s">
        <v>182</v>
      </c>
    </row>
    <row r="8" spans="1:26">
      <c r="A8" t="s">
        <v>201</v>
      </c>
      <c r="B8" s="75" t="s">
        <v>192</v>
      </c>
      <c r="C8" s="47" t="s">
        <v>165</v>
      </c>
      <c r="D8" s="47" t="s">
        <v>165</v>
      </c>
      <c r="E8" s="76" t="s">
        <v>232</v>
      </c>
      <c r="F8" s="47" t="s">
        <v>233</v>
      </c>
      <c r="G8" t="s">
        <v>204</v>
      </c>
      <c r="H8" t="s">
        <v>164</v>
      </c>
      <c r="I8" t="s">
        <v>234</v>
      </c>
      <c r="J8" s="47" t="s">
        <v>235</v>
      </c>
      <c r="L8" s="63" t="s">
        <v>185</v>
      </c>
      <c r="M8">
        <v>132435</v>
      </c>
      <c r="N8">
        <v>130100</v>
      </c>
      <c r="O8" s="51">
        <v>0</v>
      </c>
      <c r="P8" s="51">
        <v>0</v>
      </c>
      <c r="Q8">
        <v>15612</v>
      </c>
      <c r="R8">
        <v>0</v>
      </c>
      <c r="S8">
        <v>148047</v>
      </c>
      <c r="T8" t="s">
        <v>207</v>
      </c>
      <c r="U8" t="s">
        <v>182</v>
      </c>
      <c r="V8" t="s">
        <v>236</v>
      </c>
      <c r="W8" t="s">
        <v>237</v>
      </c>
      <c r="X8" s="73" t="str">
        <f t="shared" si="0"/>
        <v>Open CSV</v>
      </c>
      <c r="Y8" s="73" t="str">
        <f t="shared" si="1"/>
        <v>Open PDF</v>
      </c>
      <c r="Z8" t="s">
        <v>182</v>
      </c>
    </row>
    <row r="9" spans="1:26">
      <c r="A9" t="s">
        <v>201</v>
      </c>
      <c r="B9" s="75" t="s">
        <v>192</v>
      </c>
      <c r="C9" s="47" t="s">
        <v>165</v>
      </c>
      <c r="D9" s="47" t="s">
        <v>165</v>
      </c>
      <c r="E9" s="76" t="s">
        <v>238</v>
      </c>
      <c r="F9" s="47" t="s">
        <v>233</v>
      </c>
      <c r="G9" t="s">
        <v>204</v>
      </c>
      <c r="H9" t="s">
        <v>164</v>
      </c>
      <c r="I9" t="s">
        <v>239</v>
      </c>
      <c r="J9" s="47" t="s">
        <v>240</v>
      </c>
      <c r="L9" s="63" t="s">
        <v>185</v>
      </c>
      <c r="M9">
        <v>132435</v>
      </c>
      <c r="N9">
        <v>130100</v>
      </c>
      <c r="O9" s="51">
        <v>0</v>
      </c>
      <c r="P9" s="51">
        <v>0</v>
      </c>
      <c r="Q9" s="51">
        <v>15612</v>
      </c>
      <c r="R9">
        <v>0</v>
      </c>
      <c r="S9">
        <v>148047</v>
      </c>
      <c r="T9" t="s">
        <v>207</v>
      </c>
      <c r="U9" t="s">
        <v>182</v>
      </c>
      <c r="V9" t="s">
        <v>241</v>
      </c>
      <c r="W9" t="s">
        <v>242</v>
      </c>
      <c r="X9" s="73" t="str">
        <f t="shared" si="0"/>
        <v>Open CSV</v>
      </c>
      <c r="Y9" s="73" t="str">
        <f t="shared" si="1"/>
        <v>Open PDF</v>
      </c>
      <c r="Z9" t="s">
        <v>182</v>
      </c>
    </row>
    <row r="10" spans="1:26">
      <c r="A10" t="s">
        <v>201</v>
      </c>
      <c r="B10" s="75" t="s">
        <v>192</v>
      </c>
      <c r="C10" s="47" t="s">
        <v>165</v>
      </c>
      <c r="D10" s="47" t="s">
        <v>165</v>
      </c>
      <c r="E10" s="76" t="s">
        <v>243</v>
      </c>
      <c r="F10" s="47" t="s">
        <v>244</v>
      </c>
      <c r="G10" t="s">
        <v>204</v>
      </c>
      <c r="H10" t="s">
        <v>164</v>
      </c>
      <c r="I10" t="s">
        <v>245</v>
      </c>
      <c r="J10" s="47" t="s">
        <v>246</v>
      </c>
      <c r="L10" s="63" t="s">
        <v>185</v>
      </c>
      <c r="M10">
        <v>111063</v>
      </c>
      <c r="N10">
        <v>108700</v>
      </c>
      <c r="O10">
        <v>0</v>
      </c>
      <c r="P10">
        <v>0</v>
      </c>
      <c r="Q10" s="51">
        <v>13044</v>
      </c>
      <c r="R10">
        <v>0</v>
      </c>
      <c r="S10">
        <v>124107</v>
      </c>
      <c r="T10" t="s">
        <v>207</v>
      </c>
      <c r="U10" t="s">
        <v>182</v>
      </c>
      <c r="V10" t="s">
        <v>247</v>
      </c>
      <c r="W10" t="s">
        <v>248</v>
      </c>
      <c r="X10" s="73" t="str">
        <f t="shared" si="0"/>
        <v>Open CSV</v>
      </c>
      <c r="Y10" s="73" t="str">
        <f t="shared" si="1"/>
        <v>Open PDF</v>
      </c>
      <c r="Z10" t="s">
        <v>182</v>
      </c>
    </row>
    <row r="11" spans="1:26">
      <c r="A11" t="s">
        <v>249</v>
      </c>
      <c r="B11" s="75" t="s">
        <v>192</v>
      </c>
      <c r="C11" s="47" t="s">
        <v>165</v>
      </c>
      <c r="D11" s="47" t="s">
        <v>165</v>
      </c>
      <c r="E11" s="76" t="s">
        <v>250</v>
      </c>
      <c r="F11" s="47" t="s">
        <v>251</v>
      </c>
      <c r="G11" t="s">
        <v>252</v>
      </c>
      <c r="H11" t="s">
        <v>164</v>
      </c>
      <c r="I11" t="s">
        <v>253</v>
      </c>
      <c r="J11" s="47" t="s">
        <v>165</v>
      </c>
      <c r="K11" t="s">
        <v>254</v>
      </c>
      <c r="L11" s="63" t="s">
        <v>255</v>
      </c>
      <c r="M11">
        <v>2606</v>
      </c>
      <c r="N11">
        <v>2092</v>
      </c>
      <c r="O11">
        <v>0</v>
      </c>
      <c r="P11">
        <v>0</v>
      </c>
      <c r="Q11">
        <v>105</v>
      </c>
      <c r="R11">
        <v>0</v>
      </c>
      <c r="S11">
        <v>2711</v>
      </c>
      <c r="T11" t="s">
        <v>256</v>
      </c>
      <c r="U11" t="s">
        <v>182</v>
      </c>
      <c r="V11" t="s">
        <v>257</v>
      </c>
      <c r="W11" t="s">
        <v>258</v>
      </c>
      <c r="X11" s="73" t="str">
        <f t="shared" si="0"/>
        <v>Open CSV</v>
      </c>
      <c r="Y11" s="73" t="str">
        <f t="shared" si="1"/>
        <v>Open PDF</v>
      </c>
      <c r="Z11" t="s">
        <v>182</v>
      </c>
    </row>
    <row r="12" spans="1:26">
      <c r="A12" t="s">
        <v>249</v>
      </c>
      <c r="B12" s="75" t="s">
        <v>192</v>
      </c>
      <c r="C12" s="47" t="s">
        <v>165</v>
      </c>
      <c r="D12" s="47" t="s">
        <v>165</v>
      </c>
      <c r="E12" s="76" t="s">
        <v>259</v>
      </c>
      <c r="F12" s="47" t="s">
        <v>251</v>
      </c>
      <c r="G12" t="s">
        <v>260</v>
      </c>
      <c r="H12" t="s">
        <v>164</v>
      </c>
      <c r="I12" t="s">
        <v>253</v>
      </c>
      <c r="J12" s="47" t="s">
        <v>165</v>
      </c>
      <c r="K12" t="s">
        <v>254</v>
      </c>
      <c r="L12" s="63" t="s">
        <v>255</v>
      </c>
      <c r="M12">
        <v>1600</v>
      </c>
      <c r="N12">
        <v>1365</v>
      </c>
      <c r="O12" s="51">
        <v>34</v>
      </c>
      <c r="P12" s="51">
        <v>34</v>
      </c>
      <c r="Q12">
        <v>0</v>
      </c>
      <c r="R12">
        <v>0</v>
      </c>
      <c r="S12">
        <v>1668</v>
      </c>
      <c r="T12" t="s">
        <v>256</v>
      </c>
      <c r="U12" t="s">
        <v>182</v>
      </c>
      <c r="V12" t="s">
        <v>261</v>
      </c>
      <c r="W12" t="s">
        <v>262</v>
      </c>
      <c r="X12" s="73" t="str">
        <f t="shared" si="0"/>
        <v>Open CSV</v>
      </c>
      <c r="Y12" s="73" t="str">
        <f t="shared" si="1"/>
        <v>Open PDF</v>
      </c>
      <c r="Z12" t="s">
        <v>182</v>
      </c>
    </row>
    <row r="13" spans="1:26">
      <c r="A13" t="s">
        <v>249</v>
      </c>
      <c r="B13" s="75" t="s">
        <v>192</v>
      </c>
      <c r="C13" s="47" t="s">
        <v>165</v>
      </c>
      <c r="D13" s="47" t="s">
        <v>165</v>
      </c>
      <c r="E13" s="76" t="s">
        <v>263</v>
      </c>
      <c r="F13" s="47" t="s">
        <v>264</v>
      </c>
      <c r="G13" t="s">
        <v>260</v>
      </c>
      <c r="H13" t="s">
        <v>164</v>
      </c>
      <c r="I13" t="s">
        <v>265</v>
      </c>
      <c r="J13" s="47" t="s">
        <v>165</v>
      </c>
      <c r="K13" t="s">
        <v>266</v>
      </c>
      <c r="L13" s="63" t="s">
        <v>255</v>
      </c>
      <c r="M13">
        <v>2366</v>
      </c>
      <c r="N13">
        <v>2098</v>
      </c>
      <c r="O13">
        <v>52</v>
      </c>
      <c r="P13">
        <v>52</v>
      </c>
      <c r="Q13">
        <v>0</v>
      </c>
      <c r="R13">
        <v>0</v>
      </c>
      <c r="S13">
        <v>2470</v>
      </c>
      <c r="T13" t="s">
        <v>256</v>
      </c>
      <c r="U13" t="s">
        <v>182</v>
      </c>
      <c r="V13" t="s">
        <v>267</v>
      </c>
      <c r="W13" t="s">
        <v>268</v>
      </c>
      <c r="X13" s="73" t="str">
        <f t="shared" si="0"/>
        <v>Open CSV</v>
      </c>
      <c r="Y13" s="73" t="str">
        <f t="shared" si="1"/>
        <v>Open PDF</v>
      </c>
      <c r="Z13" t="s">
        <v>182</v>
      </c>
    </row>
    <row r="14" spans="1:26">
      <c r="A14" t="s">
        <v>249</v>
      </c>
      <c r="B14" s="75" t="s">
        <v>192</v>
      </c>
      <c r="C14" s="47" t="s">
        <v>165</v>
      </c>
      <c r="D14" s="47" t="s">
        <v>165</v>
      </c>
      <c r="E14" s="76" t="s">
        <v>269</v>
      </c>
      <c r="F14" s="47" t="s">
        <v>270</v>
      </c>
      <c r="G14" t="s">
        <v>260</v>
      </c>
      <c r="H14" t="s">
        <v>164</v>
      </c>
      <c r="I14" t="s">
        <v>271</v>
      </c>
      <c r="J14" s="47" t="s">
        <v>165</v>
      </c>
      <c r="K14" t="s">
        <v>272</v>
      </c>
      <c r="L14" s="63" t="s">
        <v>255</v>
      </c>
      <c r="M14">
        <v>1735</v>
      </c>
      <c r="N14">
        <v>1476</v>
      </c>
      <c r="O14" s="51">
        <v>37</v>
      </c>
      <c r="P14" s="51">
        <v>37</v>
      </c>
      <c r="Q14">
        <v>0</v>
      </c>
      <c r="R14">
        <v>0</v>
      </c>
      <c r="S14">
        <v>1809</v>
      </c>
      <c r="T14" t="s">
        <v>256</v>
      </c>
      <c r="U14" t="s">
        <v>182</v>
      </c>
      <c r="V14" t="s">
        <v>273</v>
      </c>
      <c r="W14" t="s">
        <v>274</v>
      </c>
      <c r="X14" s="73" t="str">
        <f t="shared" si="0"/>
        <v>Open CSV</v>
      </c>
      <c r="Y14" s="73" t="str">
        <f t="shared" si="1"/>
        <v>Open PDF</v>
      </c>
      <c r="Z14" t="s">
        <v>182</v>
      </c>
    </row>
    <row r="15" spans="1:26">
      <c r="A15" t="s">
        <v>249</v>
      </c>
      <c r="B15" s="75" t="s">
        <v>192</v>
      </c>
      <c r="C15" s="47" t="s">
        <v>165</v>
      </c>
      <c r="D15" s="47" t="s">
        <v>165</v>
      </c>
      <c r="E15" s="76" t="s">
        <v>275</v>
      </c>
      <c r="F15" s="47" t="s">
        <v>276</v>
      </c>
      <c r="G15" t="s">
        <v>252</v>
      </c>
      <c r="H15" t="s">
        <v>164</v>
      </c>
      <c r="I15" t="s">
        <v>277</v>
      </c>
      <c r="J15" s="47" t="s">
        <v>165</v>
      </c>
      <c r="K15" t="s">
        <v>278</v>
      </c>
      <c r="L15" s="63" t="s">
        <v>255</v>
      </c>
      <c r="M15">
        <v>2048</v>
      </c>
      <c r="N15">
        <v>1707</v>
      </c>
      <c r="O15">
        <v>0</v>
      </c>
      <c r="P15">
        <v>0</v>
      </c>
      <c r="Q15" s="51">
        <v>85</v>
      </c>
      <c r="R15">
        <v>0</v>
      </c>
      <c r="S15">
        <v>2133</v>
      </c>
      <c r="T15" t="s">
        <v>256</v>
      </c>
      <c r="U15" t="s">
        <v>182</v>
      </c>
      <c r="V15" t="s">
        <v>279</v>
      </c>
      <c r="W15" t="s">
        <v>280</v>
      </c>
      <c r="X15" s="73" t="str">
        <f t="shared" si="0"/>
        <v>Open CSV</v>
      </c>
      <c r="Y15" s="73" t="str">
        <f t="shared" si="1"/>
        <v>Open PDF</v>
      </c>
      <c r="Z15" t="s">
        <v>182</v>
      </c>
    </row>
    <row r="16" spans="1:26">
      <c r="A16" t="s">
        <v>249</v>
      </c>
      <c r="B16" s="75" t="s">
        <v>192</v>
      </c>
      <c r="C16" s="47" t="s">
        <v>165</v>
      </c>
      <c r="D16" s="47" t="s">
        <v>165</v>
      </c>
      <c r="E16" s="76" t="s">
        <v>281</v>
      </c>
      <c r="F16" s="47" t="s">
        <v>233</v>
      </c>
      <c r="G16" t="s">
        <v>252</v>
      </c>
      <c r="H16" t="s">
        <v>164</v>
      </c>
      <c r="I16" t="s">
        <v>282</v>
      </c>
      <c r="J16" s="47" t="s">
        <v>165</v>
      </c>
      <c r="K16" t="s">
        <v>283</v>
      </c>
      <c r="L16" s="63" t="s">
        <v>255</v>
      </c>
      <c r="M16">
        <v>1905</v>
      </c>
      <c r="N16">
        <v>1564</v>
      </c>
      <c r="O16" s="51">
        <v>0</v>
      </c>
      <c r="P16" s="51">
        <v>0</v>
      </c>
      <c r="Q16">
        <v>78</v>
      </c>
      <c r="R16">
        <v>0</v>
      </c>
      <c r="S16">
        <v>1983</v>
      </c>
      <c r="T16" t="s">
        <v>256</v>
      </c>
      <c r="U16" t="s">
        <v>182</v>
      </c>
      <c r="V16" t="s">
        <v>284</v>
      </c>
      <c r="W16" t="s">
        <v>285</v>
      </c>
      <c r="X16" s="73" t="str">
        <f t="shared" si="0"/>
        <v>Open CSV</v>
      </c>
      <c r="Y16" s="73" t="str">
        <f t="shared" si="1"/>
        <v>Open PDF</v>
      </c>
      <c r="Z16" t="s">
        <v>182</v>
      </c>
    </row>
    <row r="17" spans="1:26">
      <c r="A17" t="s">
        <v>249</v>
      </c>
      <c r="B17" s="75" t="s">
        <v>192</v>
      </c>
      <c r="C17" s="47" t="s">
        <v>165</v>
      </c>
      <c r="D17" s="47" t="s">
        <v>165</v>
      </c>
      <c r="E17" s="76" t="s">
        <v>286</v>
      </c>
      <c r="F17" s="47" t="s">
        <v>264</v>
      </c>
      <c r="G17" t="s">
        <v>260</v>
      </c>
      <c r="H17" t="s">
        <v>164</v>
      </c>
      <c r="I17" t="s">
        <v>265</v>
      </c>
      <c r="J17" s="47" t="s">
        <v>165</v>
      </c>
      <c r="K17" t="s">
        <v>287</v>
      </c>
      <c r="L17" s="63" t="s">
        <v>255</v>
      </c>
      <c r="M17">
        <v>2158</v>
      </c>
      <c r="N17">
        <v>1899</v>
      </c>
      <c r="O17">
        <v>47</v>
      </c>
      <c r="P17">
        <v>47</v>
      </c>
      <c r="Q17">
        <v>0</v>
      </c>
      <c r="R17">
        <v>0</v>
      </c>
      <c r="S17">
        <v>2252</v>
      </c>
      <c r="T17" t="s">
        <v>256</v>
      </c>
      <c r="U17" t="s">
        <v>182</v>
      </c>
      <c r="V17" t="s">
        <v>288</v>
      </c>
      <c r="W17" t="s">
        <v>289</v>
      </c>
      <c r="X17" s="73" t="str">
        <f t="shared" si="0"/>
        <v>Open CSV</v>
      </c>
      <c r="Y17" s="73" t="str">
        <f t="shared" si="1"/>
        <v>Open PDF</v>
      </c>
      <c r="Z17" t="s">
        <v>182</v>
      </c>
    </row>
    <row r="18" spans="1:26">
      <c r="A18" t="s">
        <v>249</v>
      </c>
      <c r="B18" s="75" t="s">
        <v>192</v>
      </c>
      <c r="C18" s="47" t="s">
        <v>165</v>
      </c>
      <c r="D18" s="47" t="s">
        <v>165</v>
      </c>
      <c r="E18" s="77" t="s">
        <v>290</v>
      </c>
      <c r="F18" s="47" t="s">
        <v>291</v>
      </c>
      <c r="G18" t="s">
        <v>260</v>
      </c>
      <c r="H18" t="s">
        <v>164</v>
      </c>
      <c r="I18" t="s">
        <v>292</v>
      </c>
      <c r="J18" s="47" t="s">
        <v>165</v>
      </c>
      <c r="K18" t="s">
        <v>293</v>
      </c>
      <c r="L18" s="63" t="s">
        <v>255</v>
      </c>
      <c r="M18">
        <v>1653</v>
      </c>
      <c r="N18">
        <v>1394</v>
      </c>
      <c r="O18" s="51">
        <v>35</v>
      </c>
      <c r="P18" s="51">
        <v>35</v>
      </c>
      <c r="Q18">
        <v>0</v>
      </c>
      <c r="R18">
        <v>0</v>
      </c>
      <c r="S18">
        <v>1723</v>
      </c>
      <c r="T18" t="s">
        <v>256</v>
      </c>
      <c r="U18" t="s">
        <v>182</v>
      </c>
      <c r="V18" t="s">
        <v>294</v>
      </c>
      <c r="W18" t="s">
        <v>295</v>
      </c>
      <c r="X18" s="73" t="str">
        <f t="shared" si="0"/>
        <v>Open CSV</v>
      </c>
      <c r="Y18" s="73" t="str">
        <f t="shared" si="1"/>
        <v>Open PDF</v>
      </c>
      <c r="Z18" t="s">
        <v>182</v>
      </c>
    </row>
    <row r="19" spans="1:26">
      <c r="A19" t="s">
        <v>249</v>
      </c>
      <c r="B19" s="75" t="s">
        <v>192</v>
      </c>
      <c r="C19" s="47" t="s">
        <v>165</v>
      </c>
      <c r="D19" s="47" t="s">
        <v>165</v>
      </c>
      <c r="E19" s="77" t="s">
        <v>296</v>
      </c>
      <c r="F19" s="47" t="s">
        <v>233</v>
      </c>
      <c r="G19" t="s">
        <v>260</v>
      </c>
      <c r="H19" t="s">
        <v>164</v>
      </c>
      <c r="I19" t="s">
        <v>282</v>
      </c>
      <c r="J19" s="47" t="s">
        <v>165</v>
      </c>
      <c r="K19" t="s">
        <v>297</v>
      </c>
      <c r="L19" s="63" t="s">
        <v>255</v>
      </c>
      <c r="M19">
        <v>1614</v>
      </c>
      <c r="N19">
        <v>1355</v>
      </c>
      <c r="O19" s="51">
        <v>34</v>
      </c>
      <c r="P19" s="51">
        <v>34</v>
      </c>
      <c r="Q19">
        <v>0</v>
      </c>
      <c r="R19">
        <v>0</v>
      </c>
      <c r="S19">
        <v>1682</v>
      </c>
      <c r="T19" t="s">
        <v>256</v>
      </c>
      <c r="U19" t="s">
        <v>182</v>
      </c>
      <c r="V19" t="s">
        <v>298</v>
      </c>
      <c r="W19" t="s">
        <v>299</v>
      </c>
      <c r="X19" s="73" t="str">
        <f t="shared" si="0"/>
        <v>Open CSV</v>
      </c>
      <c r="Y19" s="73" t="str">
        <f t="shared" si="1"/>
        <v>Open PDF</v>
      </c>
      <c r="Z19" t="s">
        <v>182</v>
      </c>
    </row>
    <row r="20" spans="1:26">
      <c r="A20" t="s">
        <v>249</v>
      </c>
      <c r="B20" s="75" t="s">
        <v>192</v>
      </c>
      <c r="C20" s="47" t="s">
        <v>165</v>
      </c>
      <c r="D20" s="47" t="s">
        <v>165</v>
      </c>
      <c r="E20" s="77" t="s">
        <v>300</v>
      </c>
      <c r="F20" s="47" t="s">
        <v>270</v>
      </c>
      <c r="G20" t="s">
        <v>252</v>
      </c>
      <c r="H20" t="s">
        <v>164</v>
      </c>
      <c r="I20" t="s">
        <v>301</v>
      </c>
      <c r="J20" s="47" t="s">
        <v>165</v>
      </c>
      <c r="K20" t="s">
        <v>302</v>
      </c>
      <c r="L20" s="63" t="s">
        <v>255</v>
      </c>
      <c r="M20">
        <v>2034</v>
      </c>
      <c r="N20">
        <v>1496</v>
      </c>
      <c r="O20" s="51">
        <v>0</v>
      </c>
      <c r="P20" s="51">
        <v>0</v>
      </c>
      <c r="Q20" s="51">
        <v>75</v>
      </c>
      <c r="R20">
        <v>0</v>
      </c>
      <c r="S20">
        <v>2109</v>
      </c>
      <c r="T20" t="s">
        <v>256</v>
      </c>
      <c r="U20" t="s">
        <v>182</v>
      </c>
      <c r="V20" t="s">
        <v>303</v>
      </c>
      <c r="W20" t="s">
        <v>304</v>
      </c>
      <c r="X20" s="73" t="str">
        <f t="shared" si="0"/>
        <v>Open CSV</v>
      </c>
      <c r="Y20" s="73" t="str">
        <f t="shared" si="1"/>
        <v>Open PDF</v>
      </c>
      <c r="Z20" t="s">
        <v>182</v>
      </c>
    </row>
    <row r="21" spans="1:26">
      <c r="A21" t="s">
        <v>249</v>
      </c>
      <c r="B21" s="75" t="s">
        <v>192</v>
      </c>
      <c r="C21" s="47" t="s">
        <v>165</v>
      </c>
      <c r="D21" s="47" t="s">
        <v>165</v>
      </c>
      <c r="E21" s="77" t="s">
        <v>305</v>
      </c>
      <c r="F21" s="47" t="s">
        <v>306</v>
      </c>
      <c r="G21" t="s">
        <v>260</v>
      </c>
      <c r="H21" t="s">
        <v>164</v>
      </c>
      <c r="I21" t="s">
        <v>307</v>
      </c>
      <c r="J21" s="47" t="s">
        <v>165</v>
      </c>
      <c r="K21" t="s">
        <v>308</v>
      </c>
      <c r="L21" s="63" t="s">
        <v>255</v>
      </c>
      <c r="M21">
        <v>1735</v>
      </c>
      <c r="N21">
        <v>1476</v>
      </c>
      <c r="O21" s="51">
        <v>37</v>
      </c>
      <c r="P21" s="51">
        <v>37</v>
      </c>
      <c r="Q21">
        <v>0</v>
      </c>
      <c r="R21">
        <v>0</v>
      </c>
      <c r="S21">
        <v>1809</v>
      </c>
      <c r="T21" t="s">
        <v>256</v>
      </c>
      <c r="U21" t="s">
        <v>182</v>
      </c>
      <c r="V21" t="s">
        <v>309</v>
      </c>
      <c r="W21" t="s">
        <v>310</v>
      </c>
      <c r="X21" s="73" t="str">
        <f t="shared" si="0"/>
        <v>Open CSV</v>
      </c>
      <c r="Y21" s="73" t="str">
        <f t="shared" si="1"/>
        <v>Open PDF</v>
      </c>
      <c r="Z21" t="s">
        <v>182</v>
      </c>
    </row>
    <row r="22" spans="1:26">
      <c r="A22" t="s">
        <v>249</v>
      </c>
      <c r="B22" s="75" t="s">
        <v>192</v>
      </c>
      <c r="C22" s="47" t="s">
        <v>165</v>
      </c>
      <c r="D22" s="47" t="s">
        <v>165</v>
      </c>
      <c r="E22" s="77" t="s">
        <v>311</v>
      </c>
      <c r="F22" s="47" t="s">
        <v>312</v>
      </c>
      <c r="G22" t="s">
        <v>260</v>
      </c>
      <c r="H22" t="s">
        <v>164</v>
      </c>
      <c r="I22" t="s">
        <v>313</v>
      </c>
      <c r="J22" s="47" t="s">
        <v>165</v>
      </c>
      <c r="K22" t="s">
        <v>314</v>
      </c>
      <c r="L22" s="63" t="s">
        <v>255</v>
      </c>
      <c r="M22">
        <v>1592</v>
      </c>
      <c r="N22">
        <v>1333</v>
      </c>
      <c r="O22" s="51">
        <v>34</v>
      </c>
      <c r="P22" s="51">
        <v>34</v>
      </c>
      <c r="Q22">
        <v>0</v>
      </c>
      <c r="R22">
        <v>0</v>
      </c>
      <c r="S22">
        <v>1660</v>
      </c>
      <c r="T22" t="s">
        <v>256</v>
      </c>
      <c r="U22" t="s">
        <v>182</v>
      </c>
      <c r="V22" t="s">
        <v>315</v>
      </c>
      <c r="W22" t="s">
        <v>316</v>
      </c>
      <c r="X22" s="73" t="str">
        <f t="shared" si="0"/>
        <v>Open CSV</v>
      </c>
      <c r="Y22" s="73" t="str">
        <f t="shared" si="1"/>
        <v>Open PDF</v>
      </c>
      <c r="Z22" t="s">
        <v>182</v>
      </c>
    </row>
    <row r="23" spans="1:26">
      <c r="A23" t="s">
        <v>249</v>
      </c>
      <c r="B23" s="75" t="s">
        <v>192</v>
      </c>
      <c r="C23" s="47" t="s">
        <v>165</v>
      </c>
      <c r="D23" s="47" t="s">
        <v>165</v>
      </c>
      <c r="E23" s="77" t="s">
        <v>317</v>
      </c>
      <c r="F23" s="47" t="s">
        <v>318</v>
      </c>
      <c r="G23" t="s">
        <v>252</v>
      </c>
      <c r="H23" t="s">
        <v>164</v>
      </c>
      <c r="I23" t="s">
        <v>319</v>
      </c>
      <c r="J23" s="47" t="s">
        <v>165</v>
      </c>
      <c r="K23" t="s">
        <v>320</v>
      </c>
      <c r="L23" s="63" t="s">
        <v>255</v>
      </c>
      <c r="M23">
        <v>2048</v>
      </c>
      <c r="N23">
        <v>1707</v>
      </c>
      <c r="O23">
        <v>0</v>
      </c>
      <c r="P23">
        <v>0</v>
      </c>
      <c r="Q23">
        <v>85</v>
      </c>
      <c r="R23">
        <v>0</v>
      </c>
      <c r="S23">
        <v>2133</v>
      </c>
      <c r="T23" t="s">
        <v>256</v>
      </c>
      <c r="U23" t="s">
        <v>182</v>
      </c>
      <c r="V23" t="s">
        <v>321</v>
      </c>
      <c r="W23" t="s">
        <v>322</v>
      </c>
      <c r="X23" s="73" t="str">
        <f t="shared" si="0"/>
        <v>Open CSV</v>
      </c>
      <c r="Y23" s="73" t="str">
        <f t="shared" si="1"/>
        <v>Open PDF</v>
      </c>
      <c r="Z23" t="s">
        <v>182</v>
      </c>
    </row>
    <row r="24" spans="1:26">
      <c r="A24" t="s">
        <v>249</v>
      </c>
      <c r="B24" s="75" t="s">
        <v>192</v>
      </c>
      <c r="C24" s="47" t="s">
        <v>165</v>
      </c>
      <c r="D24" s="47" t="s">
        <v>165</v>
      </c>
      <c r="E24" s="77" t="s">
        <v>323</v>
      </c>
      <c r="F24" s="47" t="s">
        <v>324</v>
      </c>
      <c r="G24" t="s">
        <v>252</v>
      </c>
      <c r="H24" t="s">
        <v>164</v>
      </c>
      <c r="I24" t="s">
        <v>325</v>
      </c>
      <c r="J24" s="47" t="s">
        <v>165</v>
      </c>
      <c r="K24" t="s">
        <v>326</v>
      </c>
      <c r="L24" s="63" t="s">
        <v>255</v>
      </c>
      <c r="M24">
        <v>4179</v>
      </c>
      <c r="N24">
        <v>3838</v>
      </c>
      <c r="O24">
        <v>0</v>
      </c>
      <c r="P24">
        <v>0</v>
      </c>
      <c r="Q24">
        <v>192</v>
      </c>
      <c r="R24">
        <v>0</v>
      </c>
      <c r="S24">
        <v>4371</v>
      </c>
      <c r="T24" t="s">
        <v>256</v>
      </c>
      <c r="U24" t="s">
        <v>182</v>
      </c>
      <c r="V24" t="s">
        <v>327</v>
      </c>
      <c r="W24" t="s">
        <v>328</v>
      </c>
      <c r="X24" s="73" t="str">
        <f t="shared" si="0"/>
        <v>Open CSV</v>
      </c>
      <c r="Y24" s="73" t="str">
        <f t="shared" si="1"/>
        <v>Open PDF</v>
      </c>
      <c r="Z24" t="s">
        <v>182</v>
      </c>
    </row>
    <row r="25" spans="1:26">
      <c r="A25" t="s">
        <v>249</v>
      </c>
      <c r="B25" s="75" t="s">
        <v>192</v>
      </c>
      <c r="C25" s="47" t="s">
        <v>165</v>
      </c>
      <c r="D25" s="47" t="s">
        <v>165</v>
      </c>
      <c r="E25" s="77" t="s">
        <v>329</v>
      </c>
      <c r="F25" s="47" t="s">
        <v>330</v>
      </c>
      <c r="G25" t="s">
        <v>252</v>
      </c>
      <c r="H25" t="s">
        <v>164</v>
      </c>
      <c r="I25" t="s">
        <v>331</v>
      </c>
      <c r="J25" s="47" t="s">
        <v>165</v>
      </c>
      <c r="K25" t="s">
        <v>332</v>
      </c>
      <c r="L25" s="63" t="s">
        <v>255</v>
      </c>
      <c r="M25">
        <v>1925</v>
      </c>
      <c r="N25">
        <v>1584</v>
      </c>
      <c r="O25">
        <v>0</v>
      </c>
      <c r="P25">
        <v>0</v>
      </c>
      <c r="Q25">
        <v>79</v>
      </c>
      <c r="R25">
        <v>0</v>
      </c>
      <c r="S25">
        <v>2004</v>
      </c>
      <c r="T25" t="s">
        <v>256</v>
      </c>
      <c r="U25" t="s">
        <v>182</v>
      </c>
      <c r="V25" t="s">
        <v>333</v>
      </c>
      <c r="W25" t="s">
        <v>334</v>
      </c>
      <c r="X25" s="73" t="str">
        <f t="shared" si="0"/>
        <v>Open CSV</v>
      </c>
      <c r="Y25" s="73" t="str">
        <f t="shared" si="1"/>
        <v>Open PDF</v>
      </c>
      <c r="Z25" t="s">
        <v>182</v>
      </c>
    </row>
    <row r="26" spans="1:26">
      <c r="A26" t="s">
        <v>249</v>
      </c>
      <c r="B26" s="75" t="s">
        <v>192</v>
      </c>
      <c r="C26" s="47" t="s">
        <v>165</v>
      </c>
      <c r="D26" s="47" t="s">
        <v>165</v>
      </c>
      <c r="E26" s="77" t="s">
        <v>335</v>
      </c>
      <c r="F26" s="47" t="s">
        <v>336</v>
      </c>
      <c r="G26" t="s">
        <v>252</v>
      </c>
      <c r="H26" t="s">
        <v>164</v>
      </c>
      <c r="I26" t="s">
        <v>337</v>
      </c>
      <c r="J26" s="47" t="s">
        <v>165</v>
      </c>
      <c r="K26" t="s">
        <v>338</v>
      </c>
      <c r="L26" s="63" t="s">
        <v>255</v>
      </c>
      <c r="M26">
        <v>2354</v>
      </c>
      <c r="N26">
        <v>1816</v>
      </c>
      <c r="O26">
        <v>0</v>
      </c>
      <c r="P26">
        <v>0</v>
      </c>
      <c r="Q26">
        <v>91</v>
      </c>
      <c r="R26">
        <v>0</v>
      </c>
      <c r="S26">
        <v>2445</v>
      </c>
      <c r="T26" t="s">
        <v>256</v>
      </c>
      <c r="U26" t="s">
        <v>182</v>
      </c>
      <c r="V26" t="s">
        <v>339</v>
      </c>
      <c r="W26" t="s">
        <v>340</v>
      </c>
      <c r="X26" s="73" t="str">
        <f t="shared" si="0"/>
        <v>Open CSV</v>
      </c>
      <c r="Y26" s="73" t="str">
        <f t="shared" si="1"/>
        <v>Open PDF</v>
      </c>
      <c r="Z26" t="s">
        <v>182</v>
      </c>
    </row>
    <row r="27" spans="1:26">
      <c r="A27" t="s">
        <v>249</v>
      </c>
      <c r="B27" s="75" t="s">
        <v>192</v>
      </c>
      <c r="C27" s="47" t="s">
        <v>165</v>
      </c>
      <c r="D27" s="47" t="s">
        <v>165</v>
      </c>
      <c r="E27" s="77" t="s">
        <v>341</v>
      </c>
      <c r="F27" s="47" t="s">
        <v>342</v>
      </c>
      <c r="G27" t="s">
        <v>252</v>
      </c>
      <c r="H27" t="s">
        <v>164</v>
      </c>
      <c r="I27" t="s">
        <v>343</v>
      </c>
      <c r="J27" s="47" t="s">
        <v>165</v>
      </c>
      <c r="K27" t="s">
        <v>344</v>
      </c>
      <c r="L27" s="63" t="s">
        <v>255</v>
      </c>
      <c r="M27">
        <v>2108</v>
      </c>
      <c r="N27">
        <v>1767</v>
      </c>
      <c r="O27">
        <v>0</v>
      </c>
      <c r="P27">
        <v>0</v>
      </c>
      <c r="Q27">
        <v>88</v>
      </c>
      <c r="R27">
        <v>0</v>
      </c>
      <c r="S27">
        <v>2196</v>
      </c>
      <c r="T27" t="s">
        <v>256</v>
      </c>
      <c r="U27" t="s">
        <v>182</v>
      </c>
      <c r="V27" t="s">
        <v>345</v>
      </c>
      <c r="W27" t="s">
        <v>346</v>
      </c>
      <c r="X27" s="73" t="str">
        <f t="shared" si="0"/>
        <v>Open CSV</v>
      </c>
      <c r="Y27" s="73" t="str">
        <f t="shared" si="1"/>
        <v>Open PDF</v>
      </c>
      <c r="Z27" t="s">
        <v>182</v>
      </c>
    </row>
    <row r="28" spans="1:26">
      <c r="A28" t="s">
        <v>249</v>
      </c>
      <c r="B28" s="75" t="s">
        <v>192</v>
      </c>
      <c r="C28" s="47" t="s">
        <v>165</v>
      </c>
      <c r="D28" s="47" t="s">
        <v>165</v>
      </c>
      <c r="E28" s="77" t="s">
        <v>405</v>
      </c>
      <c r="F28" s="47" t="s">
        <v>270</v>
      </c>
      <c r="G28" t="s">
        <v>260</v>
      </c>
      <c r="H28" t="s">
        <v>164</v>
      </c>
      <c r="I28" t="s">
        <v>406</v>
      </c>
      <c r="J28" s="47" t="s">
        <v>165</v>
      </c>
      <c r="K28" t="s">
        <v>407</v>
      </c>
      <c r="L28" s="63" t="s">
        <v>255</v>
      </c>
      <c r="M28">
        <v>1735</v>
      </c>
      <c r="N28">
        <v>1476</v>
      </c>
      <c r="O28">
        <v>37</v>
      </c>
      <c r="P28">
        <v>37</v>
      </c>
      <c r="Q28">
        <v>0</v>
      </c>
      <c r="R28">
        <v>0</v>
      </c>
      <c r="S28">
        <v>1809</v>
      </c>
      <c r="T28" t="s">
        <v>256</v>
      </c>
      <c r="U28" t="s">
        <v>182</v>
      </c>
      <c r="V28" t="s">
        <v>408</v>
      </c>
      <c r="W28" t="s">
        <v>409</v>
      </c>
      <c r="X28" s="73" t="str">
        <f t="shared" si="0"/>
        <v>Open CSV</v>
      </c>
      <c r="Y28" s="73" t="str">
        <f t="shared" si="1"/>
        <v>Open PDF</v>
      </c>
      <c r="Z28" t="s">
        <v>182</v>
      </c>
    </row>
    <row r="29" spans="1:26">
      <c r="A29" t="s">
        <v>249</v>
      </c>
      <c r="B29" s="75" t="s">
        <v>192</v>
      </c>
      <c r="C29" s="47" t="s">
        <v>165</v>
      </c>
      <c r="D29" s="47" t="s">
        <v>165</v>
      </c>
      <c r="E29" s="77" t="s">
        <v>410</v>
      </c>
      <c r="F29" s="47" t="s">
        <v>264</v>
      </c>
      <c r="G29" t="s">
        <v>260</v>
      </c>
      <c r="H29" t="s">
        <v>164</v>
      </c>
      <c r="I29" t="s">
        <v>411</v>
      </c>
      <c r="J29" s="47" t="s">
        <v>165</v>
      </c>
      <c r="K29" t="s">
        <v>412</v>
      </c>
      <c r="L29" s="63" t="s">
        <v>255</v>
      </c>
      <c r="M29">
        <v>2674</v>
      </c>
      <c r="N29">
        <v>2406</v>
      </c>
      <c r="O29" s="51">
        <v>61</v>
      </c>
      <c r="P29" s="51">
        <v>61</v>
      </c>
      <c r="Q29">
        <v>0</v>
      </c>
      <c r="R29">
        <v>0</v>
      </c>
      <c r="S29">
        <v>2796</v>
      </c>
      <c r="T29" t="s">
        <v>256</v>
      </c>
      <c r="U29" t="s">
        <v>182</v>
      </c>
      <c r="V29" t="s">
        <v>413</v>
      </c>
      <c r="W29" t="s">
        <v>414</v>
      </c>
      <c r="X29" s="73" t="str">
        <f t="shared" si="0"/>
        <v>Open CSV</v>
      </c>
      <c r="Y29" s="73" t="str">
        <f t="shared" si="1"/>
        <v>Open PDF</v>
      </c>
      <c r="Z29" t="s">
        <v>182</v>
      </c>
    </row>
    <row r="30" spans="1:26">
      <c r="A30" t="s">
        <v>249</v>
      </c>
      <c r="B30" s="75" t="s">
        <v>192</v>
      </c>
      <c r="C30" s="47" t="s">
        <v>165</v>
      </c>
      <c r="D30" s="47" t="s">
        <v>165</v>
      </c>
      <c r="E30" s="77" t="s">
        <v>415</v>
      </c>
      <c r="F30" s="47" t="s">
        <v>416</v>
      </c>
      <c r="G30" t="s">
        <v>252</v>
      </c>
      <c r="H30" t="s">
        <v>164</v>
      </c>
      <c r="I30" t="s">
        <v>417</v>
      </c>
      <c r="J30" s="47" t="s">
        <v>165</v>
      </c>
      <c r="K30" t="s">
        <v>418</v>
      </c>
      <c r="L30" s="63" t="s">
        <v>255</v>
      </c>
      <c r="M30">
        <v>2108</v>
      </c>
      <c r="N30">
        <v>1767</v>
      </c>
      <c r="O30">
        <v>0</v>
      </c>
      <c r="P30">
        <v>0</v>
      </c>
      <c r="Q30">
        <v>88</v>
      </c>
      <c r="R30">
        <v>0</v>
      </c>
      <c r="S30">
        <v>2196</v>
      </c>
      <c r="T30" t="s">
        <v>256</v>
      </c>
      <c r="U30" t="s">
        <v>182</v>
      </c>
      <c r="V30" t="s">
        <v>419</v>
      </c>
      <c r="W30" t="s">
        <v>420</v>
      </c>
      <c r="X30" s="73" t="str">
        <f t="shared" si="0"/>
        <v>Open CSV</v>
      </c>
      <c r="Y30" s="73" t="str">
        <f t="shared" si="1"/>
        <v>Open PDF</v>
      </c>
      <c r="Z30" t="s">
        <v>182</v>
      </c>
    </row>
    <row r="31" spans="1:26" ht="14.1" customHeight="1">
      <c r="A31" t="s">
        <v>249</v>
      </c>
      <c r="B31" s="75" t="s">
        <v>192</v>
      </c>
      <c r="C31" s="47" t="s">
        <v>165</v>
      </c>
      <c r="D31" s="47" t="s">
        <v>165</v>
      </c>
      <c r="E31" s="77" t="s">
        <v>421</v>
      </c>
      <c r="F31" s="47" t="s">
        <v>422</v>
      </c>
      <c r="G31" t="s">
        <v>252</v>
      </c>
      <c r="H31" t="s">
        <v>164</v>
      </c>
      <c r="I31" t="s">
        <v>423</v>
      </c>
      <c r="J31" s="47" t="s">
        <v>165</v>
      </c>
      <c r="K31" t="s">
        <v>424</v>
      </c>
      <c r="L31" s="63" t="s">
        <v>255</v>
      </c>
      <c r="M31">
        <v>2439</v>
      </c>
      <c r="N31">
        <v>1925</v>
      </c>
      <c r="O31" s="51">
        <v>0</v>
      </c>
      <c r="P31" s="51">
        <v>0</v>
      </c>
      <c r="Q31">
        <v>96</v>
      </c>
      <c r="R31">
        <v>0</v>
      </c>
      <c r="S31">
        <v>2535</v>
      </c>
      <c r="T31" t="s">
        <v>256</v>
      </c>
      <c r="U31" t="s">
        <v>182</v>
      </c>
      <c r="V31" t="s">
        <v>425</v>
      </c>
      <c r="W31" t="s">
        <v>426</v>
      </c>
      <c r="X31" s="73" t="str">
        <f t="shared" si="0"/>
        <v>Open CSV</v>
      </c>
      <c r="Y31" s="73" t="str">
        <f t="shared" si="1"/>
        <v>Open PDF</v>
      </c>
      <c r="Z31" t="s">
        <v>182</v>
      </c>
    </row>
    <row r="32" spans="1:26">
      <c r="A32" t="s">
        <v>249</v>
      </c>
      <c r="B32" s="75" t="s">
        <v>192</v>
      </c>
      <c r="C32" s="47" t="s">
        <v>165</v>
      </c>
      <c r="D32" s="47" t="s">
        <v>165</v>
      </c>
      <c r="E32" s="77" t="s">
        <v>427</v>
      </c>
      <c r="F32" s="47" t="s">
        <v>422</v>
      </c>
      <c r="G32" t="s">
        <v>260</v>
      </c>
      <c r="H32" t="s">
        <v>164</v>
      </c>
      <c r="I32" t="s">
        <v>423</v>
      </c>
      <c r="J32" s="47" t="s">
        <v>165</v>
      </c>
      <c r="K32" t="s">
        <v>424</v>
      </c>
      <c r="L32" s="63" t="s">
        <v>255</v>
      </c>
      <c r="M32">
        <v>1797</v>
      </c>
      <c r="N32">
        <v>1562</v>
      </c>
      <c r="O32">
        <v>48</v>
      </c>
      <c r="P32">
        <v>48</v>
      </c>
      <c r="Q32">
        <v>0</v>
      </c>
      <c r="R32">
        <v>0</v>
      </c>
      <c r="S32">
        <v>1893</v>
      </c>
      <c r="T32" t="s">
        <v>256</v>
      </c>
      <c r="U32" t="s">
        <v>182</v>
      </c>
      <c r="V32" t="s">
        <v>428</v>
      </c>
      <c r="W32" t="s">
        <v>429</v>
      </c>
      <c r="X32" s="73" t="str">
        <f t="shared" si="0"/>
        <v>Open CSV</v>
      </c>
      <c r="Y32" s="73" t="str">
        <f t="shared" si="1"/>
        <v>Open PDF</v>
      </c>
      <c r="Z32" t="s">
        <v>182</v>
      </c>
    </row>
    <row r="33" spans="1:26">
      <c r="A33" t="s">
        <v>249</v>
      </c>
      <c r="B33" s="75" t="s">
        <v>192</v>
      </c>
      <c r="C33" s="47" t="s">
        <v>165</v>
      </c>
      <c r="D33" s="47" t="s">
        <v>165</v>
      </c>
      <c r="E33" s="77" t="s">
        <v>430</v>
      </c>
      <c r="F33" s="47" t="s">
        <v>324</v>
      </c>
      <c r="G33" t="s">
        <v>252</v>
      </c>
      <c r="H33" t="s">
        <v>164</v>
      </c>
      <c r="I33" t="s">
        <v>431</v>
      </c>
      <c r="J33" s="47" t="s">
        <v>165</v>
      </c>
      <c r="K33" t="s">
        <v>432</v>
      </c>
      <c r="L33" s="63" t="s">
        <v>255</v>
      </c>
      <c r="M33">
        <v>2135</v>
      </c>
      <c r="N33">
        <v>1794</v>
      </c>
      <c r="O33">
        <v>0</v>
      </c>
      <c r="P33">
        <v>0</v>
      </c>
      <c r="Q33">
        <v>89</v>
      </c>
      <c r="R33">
        <v>0</v>
      </c>
      <c r="S33">
        <v>2224</v>
      </c>
      <c r="T33" t="s">
        <v>256</v>
      </c>
      <c r="U33" t="s">
        <v>182</v>
      </c>
      <c r="V33" t="s">
        <v>433</v>
      </c>
      <c r="W33" t="s">
        <v>434</v>
      </c>
      <c r="X33" s="73" t="str">
        <f t="shared" si="0"/>
        <v>Open CSV</v>
      </c>
      <c r="Y33" s="73" t="str">
        <f t="shared" si="1"/>
        <v>Open PDF</v>
      </c>
      <c r="Z33" t="s">
        <v>182</v>
      </c>
    </row>
    <row r="34" spans="1:26">
      <c r="A34" t="s">
        <v>249</v>
      </c>
      <c r="B34" s="75" t="s">
        <v>192</v>
      </c>
      <c r="C34" s="47" t="s">
        <v>165</v>
      </c>
      <c r="D34" s="47" t="s">
        <v>165</v>
      </c>
      <c r="E34" s="77" t="s">
        <v>435</v>
      </c>
      <c r="F34" s="47" t="s">
        <v>312</v>
      </c>
      <c r="G34" t="s">
        <v>260</v>
      </c>
      <c r="H34" t="s">
        <v>164</v>
      </c>
      <c r="I34" t="s">
        <v>436</v>
      </c>
      <c r="J34" s="47" t="s">
        <v>165</v>
      </c>
      <c r="K34" t="s">
        <v>437</v>
      </c>
      <c r="L34" s="63" t="s">
        <v>255</v>
      </c>
      <c r="M34">
        <v>1592</v>
      </c>
      <c r="N34">
        <v>1333</v>
      </c>
      <c r="O34">
        <v>34</v>
      </c>
      <c r="P34">
        <v>34</v>
      </c>
      <c r="Q34">
        <v>0</v>
      </c>
      <c r="R34">
        <v>0</v>
      </c>
      <c r="S34">
        <v>1660</v>
      </c>
      <c r="T34" t="s">
        <v>256</v>
      </c>
      <c r="U34" t="s">
        <v>182</v>
      </c>
      <c r="V34" t="s">
        <v>438</v>
      </c>
      <c r="W34" t="s">
        <v>439</v>
      </c>
      <c r="X34" s="73" t="str">
        <f t="shared" si="0"/>
        <v>Open CSV</v>
      </c>
      <c r="Y34" s="73" t="str">
        <f t="shared" si="1"/>
        <v>Open PDF</v>
      </c>
      <c r="Z34" t="s">
        <v>182</v>
      </c>
    </row>
    <row r="35" spans="1:26">
      <c r="A35" t="s">
        <v>249</v>
      </c>
      <c r="B35" s="75" t="s">
        <v>192</v>
      </c>
      <c r="C35" s="47" t="s">
        <v>165</v>
      </c>
      <c r="D35" s="47" t="s">
        <v>165</v>
      </c>
      <c r="E35" s="77" t="s">
        <v>440</v>
      </c>
      <c r="F35" s="47" t="s">
        <v>324</v>
      </c>
      <c r="G35" t="s">
        <v>260</v>
      </c>
      <c r="H35" t="s">
        <v>164</v>
      </c>
      <c r="I35" t="s">
        <v>325</v>
      </c>
      <c r="J35" s="47" t="s">
        <v>165</v>
      </c>
      <c r="K35" t="s">
        <v>441</v>
      </c>
      <c r="L35" s="63" t="s">
        <v>255</v>
      </c>
      <c r="M35">
        <v>2649</v>
      </c>
      <c r="N35">
        <v>2390</v>
      </c>
      <c r="O35">
        <v>60</v>
      </c>
      <c r="P35">
        <v>60</v>
      </c>
      <c r="Q35">
        <v>0</v>
      </c>
      <c r="R35">
        <v>0</v>
      </c>
      <c r="S35">
        <v>2769</v>
      </c>
      <c r="T35" t="s">
        <v>256</v>
      </c>
      <c r="U35" t="s">
        <v>182</v>
      </c>
      <c r="V35" t="s">
        <v>442</v>
      </c>
      <c r="W35" t="s">
        <v>443</v>
      </c>
      <c r="X35" s="73" t="str">
        <f t="shared" si="0"/>
        <v>Open CSV</v>
      </c>
      <c r="Y35" s="73" t="str">
        <f t="shared" si="1"/>
        <v>Open PDF</v>
      </c>
      <c r="Z35" t="s">
        <v>182</v>
      </c>
    </row>
    <row r="36" spans="1:26">
      <c r="A36" t="s">
        <v>249</v>
      </c>
      <c r="B36" s="75" t="s">
        <v>192</v>
      </c>
      <c r="C36" s="47" t="s">
        <v>165</v>
      </c>
      <c r="D36" s="47" t="s">
        <v>165</v>
      </c>
      <c r="E36" s="77" t="s">
        <v>444</v>
      </c>
      <c r="F36" s="47" t="s">
        <v>445</v>
      </c>
      <c r="G36" t="s">
        <v>260</v>
      </c>
      <c r="H36" t="s">
        <v>164</v>
      </c>
      <c r="I36" t="s">
        <v>446</v>
      </c>
      <c r="J36" s="47" t="s">
        <v>165</v>
      </c>
      <c r="K36" t="s">
        <v>447</v>
      </c>
      <c r="L36" s="63" t="s">
        <v>255</v>
      </c>
      <c r="M36">
        <v>2287</v>
      </c>
      <c r="N36">
        <v>2029</v>
      </c>
      <c r="O36" s="51">
        <v>50</v>
      </c>
      <c r="P36" s="51">
        <v>50</v>
      </c>
      <c r="Q36">
        <v>0</v>
      </c>
      <c r="R36">
        <v>0</v>
      </c>
      <c r="S36">
        <v>2387</v>
      </c>
      <c r="T36" t="s">
        <v>256</v>
      </c>
      <c r="U36" t="s">
        <v>182</v>
      </c>
      <c r="V36" t="s">
        <v>448</v>
      </c>
      <c r="W36" t="s">
        <v>449</v>
      </c>
      <c r="X36" s="73" t="str">
        <f t="shared" si="0"/>
        <v>Open CSV</v>
      </c>
      <c r="Y36" s="73" t="str">
        <f t="shared" si="1"/>
        <v>Open PDF</v>
      </c>
      <c r="Z36" t="s">
        <v>182</v>
      </c>
    </row>
    <row r="37" spans="1:26">
      <c r="A37" t="s">
        <v>249</v>
      </c>
      <c r="B37" s="75" t="s">
        <v>192</v>
      </c>
      <c r="C37" s="47" t="s">
        <v>165</v>
      </c>
      <c r="D37" s="47" t="s">
        <v>165</v>
      </c>
      <c r="E37" s="77" t="s">
        <v>450</v>
      </c>
      <c r="F37" s="47" t="s">
        <v>336</v>
      </c>
      <c r="G37" t="s">
        <v>260</v>
      </c>
      <c r="H37" t="s">
        <v>164</v>
      </c>
      <c r="I37" t="s">
        <v>337</v>
      </c>
      <c r="J37" s="47" t="s">
        <v>165</v>
      </c>
      <c r="K37" t="s">
        <v>451</v>
      </c>
      <c r="L37" s="63" t="s">
        <v>255</v>
      </c>
      <c r="M37">
        <v>1592</v>
      </c>
      <c r="N37">
        <v>1333</v>
      </c>
      <c r="O37">
        <v>34</v>
      </c>
      <c r="P37">
        <v>34</v>
      </c>
      <c r="Q37" s="51">
        <v>0</v>
      </c>
      <c r="R37">
        <v>0</v>
      </c>
      <c r="S37">
        <v>1660</v>
      </c>
      <c r="T37" t="s">
        <v>256</v>
      </c>
      <c r="U37" t="s">
        <v>182</v>
      </c>
      <c r="V37" t="s">
        <v>452</v>
      </c>
      <c r="W37" t="s">
        <v>453</v>
      </c>
      <c r="X37" s="73" t="str">
        <f t="shared" si="0"/>
        <v>Open CSV</v>
      </c>
      <c r="Y37" s="73" t="str">
        <f t="shared" si="1"/>
        <v>Open PDF</v>
      </c>
      <c r="Z37" t="s">
        <v>182</v>
      </c>
    </row>
    <row r="38" spans="1:26">
      <c r="A38" t="s">
        <v>249</v>
      </c>
      <c r="B38" s="75" t="s">
        <v>192</v>
      </c>
      <c r="C38" s="47" t="s">
        <v>165</v>
      </c>
      <c r="D38" s="47" t="s">
        <v>165</v>
      </c>
      <c r="E38" s="77" t="s">
        <v>454</v>
      </c>
      <c r="F38" s="47" t="s">
        <v>330</v>
      </c>
      <c r="G38" t="s">
        <v>260</v>
      </c>
      <c r="H38" t="s">
        <v>164</v>
      </c>
      <c r="I38" t="s">
        <v>455</v>
      </c>
      <c r="J38" s="47" t="s">
        <v>165</v>
      </c>
      <c r="K38" t="s">
        <v>456</v>
      </c>
      <c r="L38" s="63" t="s">
        <v>255</v>
      </c>
      <c r="M38">
        <v>1614</v>
      </c>
      <c r="N38">
        <v>1355</v>
      </c>
      <c r="O38">
        <v>34</v>
      </c>
      <c r="P38">
        <v>34</v>
      </c>
      <c r="Q38">
        <v>0</v>
      </c>
      <c r="R38">
        <v>0</v>
      </c>
      <c r="S38">
        <v>1682</v>
      </c>
      <c r="T38" t="s">
        <v>256</v>
      </c>
      <c r="U38" t="s">
        <v>182</v>
      </c>
      <c r="V38" t="s">
        <v>457</v>
      </c>
      <c r="W38" t="s">
        <v>458</v>
      </c>
      <c r="X38" s="73" t="str">
        <f t="shared" si="0"/>
        <v>Open CSV</v>
      </c>
      <c r="Y38" s="73" t="str">
        <f t="shared" si="1"/>
        <v>Open PDF</v>
      </c>
      <c r="Z38" t="s">
        <v>182</v>
      </c>
    </row>
    <row r="39" spans="1:26">
      <c r="A39" t="s">
        <v>249</v>
      </c>
      <c r="B39" s="75" t="s">
        <v>192</v>
      </c>
      <c r="C39" s="47" t="s">
        <v>165</v>
      </c>
      <c r="D39" s="47" t="s">
        <v>165</v>
      </c>
      <c r="E39" s="77" t="s">
        <v>459</v>
      </c>
      <c r="F39" s="47" t="s">
        <v>460</v>
      </c>
      <c r="G39" t="s">
        <v>260</v>
      </c>
      <c r="H39" t="s">
        <v>164</v>
      </c>
      <c r="I39" t="s">
        <v>461</v>
      </c>
      <c r="J39" s="47" t="s">
        <v>165</v>
      </c>
      <c r="K39" t="s">
        <v>462</v>
      </c>
      <c r="L39" s="63" t="s">
        <v>255</v>
      </c>
      <c r="M39">
        <v>3202</v>
      </c>
      <c r="N39">
        <v>2943</v>
      </c>
      <c r="O39">
        <v>73</v>
      </c>
      <c r="P39">
        <v>73</v>
      </c>
      <c r="Q39">
        <v>0</v>
      </c>
      <c r="R39">
        <v>0</v>
      </c>
      <c r="S39">
        <v>3348</v>
      </c>
      <c r="T39" t="s">
        <v>256</v>
      </c>
      <c r="U39" t="s">
        <v>182</v>
      </c>
      <c r="V39" t="s">
        <v>463</v>
      </c>
      <c r="W39" t="s">
        <v>464</v>
      </c>
      <c r="X39" s="73" t="str">
        <f t="shared" si="0"/>
        <v>Open CSV</v>
      </c>
      <c r="Y39" s="73" t="str">
        <f t="shared" si="1"/>
        <v>Open PDF</v>
      </c>
      <c r="Z39" t="s">
        <v>182</v>
      </c>
    </row>
    <row r="40" spans="1:26">
      <c r="A40" t="s">
        <v>249</v>
      </c>
      <c r="B40" s="75" t="s">
        <v>192</v>
      </c>
      <c r="C40" s="47" t="s">
        <v>165</v>
      </c>
      <c r="D40" s="47" t="s">
        <v>165</v>
      </c>
      <c r="E40" s="77" t="s">
        <v>465</v>
      </c>
      <c r="F40" s="47" t="s">
        <v>460</v>
      </c>
      <c r="G40" t="s">
        <v>260</v>
      </c>
      <c r="H40" t="s">
        <v>164</v>
      </c>
      <c r="I40" t="s">
        <v>461</v>
      </c>
      <c r="J40" s="47" t="s">
        <v>165</v>
      </c>
      <c r="K40" t="s">
        <v>462</v>
      </c>
      <c r="L40" s="63" t="s">
        <v>255</v>
      </c>
      <c r="M40">
        <v>1871</v>
      </c>
      <c r="N40">
        <v>1603</v>
      </c>
      <c r="O40">
        <v>40</v>
      </c>
      <c r="P40">
        <v>40</v>
      </c>
      <c r="Q40">
        <v>0</v>
      </c>
      <c r="R40">
        <v>0</v>
      </c>
      <c r="S40">
        <v>1951</v>
      </c>
      <c r="T40" t="s">
        <v>256</v>
      </c>
      <c r="U40" t="s">
        <v>182</v>
      </c>
      <c r="V40" t="s">
        <v>466</v>
      </c>
      <c r="W40" t="s">
        <v>467</v>
      </c>
      <c r="X40" s="73" t="str">
        <f t="shared" si="0"/>
        <v>Open CSV</v>
      </c>
      <c r="Y40" s="73" t="str">
        <f t="shared" si="1"/>
        <v>Open PDF</v>
      </c>
      <c r="Z40" t="s">
        <v>182</v>
      </c>
    </row>
    <row r="41" spans="1:26">
      <c r="A41" t="s">
        <v>249</v>
      </c>
      <c r="B41" s="75" t="s">
        <v>192</v>
      </c>
      <c r="C41" s="47" t="s">
        <v>165</v>
      </c>
      <c r="D41" s="47" t="s">
        <v>165</v>
      </c>
      <c r="E41" s="77" t="s">
        <v>468</v>
      </c>
      <c r="F41" s="47" t="s">
        <v>324</v>
      </c>
      <c r="G41" t="s">
        <v>260</v>
      </c>
      <c r="H41" t="s">
        <v>164</v>
      </c>
      <c r="I41" t="s">
        <v>469</v>
      </c>
      <c r="J41" s="47" t="s">
        <v>165</v>
      </c>
      <c r="K41" t="s">
        <v>470</v>
      </c>
      <c r="L41" s="63" t="s">
        <v>255</v>
      </c>
      <c r="M41">
        <v>2649</v>
      </c>
      <c r="N41">
        <v>2390</v>
      </c>
      <c r="O41">
        <v>60</v>
      </c>
      <c r="P41">
        <v>60</v>
      </c>
      <c r="Q41">
        <v>0</v>
      </c>
      <c r="R41">
        <v>0</v>
      </c>
      <c r="S41">
        <v>2769</v>
      </c>
      <c r="T41" t="s">
        <v>256</v>
      </c>
      <c r="U41" t="s">
        <v>182</v>
      </c>
      <c r="V41" t="s">
        <v>471</v>
      </c>
      <c r="W41" t="s">
        <v>472</v>
      </c>
      <c r="X41" s="73" t="str">
        <f t="shared" si="0"/>
        <v>Open CSV</v>
      </c>
      <c r="Y41" s="73" t="str">
        <f t="shared" si="1"/>
        <v>Open PDF</v>
      </c>
      <c r="Z41" t="s">
        <v>182</v>
      </c>
    </row>
    <row r="42" spans="1:26">
      <c r="A42" t="s">
        <v>249</v>
      </c>
      <c r="B42" s="75" t="s">
        <v>192</v>
      </c>
      <c r="C42" s="47" t="s">
        <v>165</v>
      </c>
      <c r="D42" s="47" t="s">
        <v>165</v>
      </c>
      <c r="E42" s="77" t="s">
        <v>473</v>
      </c>
      <c r="F42" s="47" t="s">
        <v>474</v>
      </c>
      <c r="G42" t="s">
        <v>260</v>
      </c>
      <c r="H42" t="s">
        <v>164</v>
      </c>
      <c r="I42" t="s">
        <v>475</v>
      </c>
      <c r="J42" s="47" t="s">
        <v>165</v>
      </c>
      <c r="K42" t="s">
        <v>476</v>
      </c>
      <c r="L42" s="63" t="s">
        <v>255</v>
      </c>
      <c r="M42">
        <v>2116</v>
      </c>
      <c r="N42">
        <v>1857</v>
      </c>
      <c r="O42">
        <v>46</v>
      </c>
      <c r="P42">
        <v>46</v>
      </c>
      <c r="Q42">
        <v>0</v>
      </c>
      <c r="R42">
        <v>0</v>
      </c>
      <c r="S42">
        <v>2208</v>
      </c>
      <c r="T42" t="s">
        <v>256</v>
      </c>
      <c r="U42" t="s">
        <v>182</v>
      </c>
      <c r="V42" t="s">
        <v>477</v>
      </c>
      <c r="W42" t="s">
        <v>478</v>
      </c>
      <c r="X42" s="73" t="str">
        <f t="shared" si="0"/>
        <v>Open CSV</v>
      </c>
      <c r="Y42" s="73" t="str">
        <f t="shared" si="1"/>
        <v>Open PDF</v>
      </c>
      <c r="Z42" t="s">
        <v>182</v>
      </c>
    </row>
    <row r="43" spans="1:26">
      <c r="A43" t="s">
        <v>249</v>
      </c>
      <c r="B43" s="75" t="s">
        <v>479</v>
      </c>
      <c r="C43" s="47" t="s">
        <v>473</v>
      </c>
      <c r="D43" s="47" t="s">
        <v>474</v>
      </c>
      <c r="E43" s="77" t="s">
        <v>480</v>
      </c>
      <c r="F43" s="47" t="s">
        <v>481</v>
      </c>
      <c r="G43" t="s">
        <v>260</v>
      </c>
      <c r="H43" t="s">
        <v>164</v>
      </c>
      <c r="I43" t="s">
        <v>475</v>
      </c>
      <c r="J43" s="47" t="s">
        <v>165</v>
      </c>
      <c r="K43" t="s">
        <v>476</v>
      </c>
      <c r="L43" s="63" t="s">
        <v>255</v>
      </c>
      <c r="M43">
        <v>2116</v>
      </c>
      <c r="N43">
        <v>1857</v>
      </c>
      <c r="O43" s="51">
        <v>46</v>
      </c>
      <c r="P43" s="51">
        <v>46</v>
      </c>
      <c r="Q43">
        <v>0</v>
      </c>
      <c r="R43">
        <v>0</v>
      </c>
      <c r="S43">
        <v>2208</v>
      </c>
      <c r="T43" t="s">
        <v>256</v>
      </c>
      <c r="U43" t="s">
        <v>182</v>
      </c>
      <c r="V43" t="s">
        <v>482</v>
      </c>
      <c r="W43" t="s">
        <v>483</v>
      </c>
      <c r="X43" s="73" t="str">
        <f t="shared" si="0"/>
        <v>Open CSV</v>
      </c>
      <c r="Y43" s="73" t="str">
        <f t="shared" si="1"/>
        <v>Open PDF</v>
      </c>
      <c r="Z43" t="s">
        <v>182</v>
      </c>
    </row>
    <row r="44" spans="1:26">
      <c r="A44" t="s">
        <v>249</v>
      </c>
      <c r="B44" s="75" t="s">
        <v>192</v>
      </c>
      <c r="C44" s="47" t="s">
        <v>165</v>
      </c>
      <c r="D44" s="47" t="s">
        <v>165</v>
      </c>
      <c r="E44" s="77" t="s">
        <v>484</v>
      </c>
      <c r="F44" s="47" t="s">
        <v>460</v>
      </c>
      <c r="G44" t="s">
        <v>260</v>
      </c>
      <c r="H44" t="s">
        <v>164</v>
      </c>
      <c r="I44" t="s">
        <v>485</v>
      </c>
      <c r="J44" s="47" t="s">
        <v>165</v>
      </c>
      <c r="K44" t="s">
        <v>486</v>
      </c>
      <c r="L44" s="63" t="s">
        <v>255</v>
      </c>
      <c r="M44">
        <v>4095</v>
      </c>
      <c r="N44">
        <v>3836</v>
      </c>
      <c r="O44" s="51">
        <v>96</v>
      </c>
      <c r="P44" s="51">
        <v>96</v>
      </c>
      <c r="Q44">
        <v>0</v>
      </c>
      <c r="R44">
        <v>0</v>
      </c>
      <c r="S44">
        <v>4287</v>
      </c>
      <c r="T44" t="s">
        <v>256</v>
      </c>
      <c r="U44" t="s">
        <v>182</v>
      </c>
      <c r="V44" t="s">
        <v>487</v>
      </c>
      <c r="W44" t="s">
        <v>488</v>
      </c>
      <c r="X44" s="73" t="str">
        <f t="shared" si="0"/>
        <v>Open CSV</v>
      </c>
      <c r="Y44" s="73" t="str">
        <f t="shared" si="1"/>
        <v>Open PDF</v>
      </c>
      <c r="Z44" t="s">
        <v>182</v>
      </c>
    </row>
    <row r="45" spans="1:26">
      <c r="A45" t="s">
        <v>249</v>
      </c>
      <c r="B45" s="75" t="s">
        <v>192</v>
      </c>
      <c r="C45" s="47" t="s">
        <v>165</v>
      </c>
      <c r="D45" s="47" t="s">
        <v>165</v>
      </c>
      <c r="E45" s="77" t="s">
        <v>489</v>
      </c>
      <c r="F45" s="47" t="s">
        <v>490</v>
      </c>
      <c r="G45" t="s">
        <v>252</v>
      </c>
      <c r="H45" t="s">
        <v>164</v>
      </c>
      <c r="I45" t="s">
        <v>491</v>
      </c>
      <c r="J45" s="47" t="s">
        <v>165</v>
      </c>
      <c r="K45" t="s">
        <v>492</v>
      </c>
      <c r="L45" s="63" t="s">
        <v>255</v>
      </c>
      <c r="M45">
        <v>2034</v>
      </c>
      <c r="N45">
        <v>1496</v>
      </c>
      <c r="O45" s="51">
        <v>0</v>
      </c>
      <c r="P45" s="51">
        <v>0</v>
      </c>
      <c r="Q45" s="51">
        <v>75</v>
      </c>
      <c r="R45">
        <v>0</v>
      </c>
      <c r="S45">
        <v>2109</v>
      </c>
      <c r="T45" t="s">
        <v>256</v>
      </c>
      <c r="U45" t="s">
        <v>182</v>
      </c>
      <c r="V45" t="s">
        <v>493</v>
      </c>
      <c r="W45" t="s">
        <v>494</v>
      </c>
      <c r="X45" s="73" t="str">
        <f t="shared" si="0"/>
        <v>Open CSV</v>
      </c>
      <c r="Y45" s="73" t="str">
        <f t="shared" si="1"/>
        <v>Open PDF</v>
      </c>
      <c r="Z45" t="s">
        <v>182</v>
      </c>
    </row>
    <row r="46" spans="1:26">
      <c r="A46" t="s">
        <v>249</v>
      </c>
      <c r="B46" s="75" t="s">
        <v>192</v>
      </c>
      <c r="C46" s="47" t="s">
        <v>165</v>
      </c>
      <c r="D46" s="47" t="s">
        <v>165</v>
      </c>
      <c r="E46" s="77" t="s">
        <v>495</v>
      </c>
      <c r="F46" s="47" t="s">
        <v>445</v>
      </c>
      <c r="G46" t="s">
        <v>260</v>
      </c>
      <c r="H46" t="s">
        <v>164</v>
      </c>
      <c r="I46" t="s">
        <v>496</v>
      </c>
      <c r="J46" s="47" t="s">
        <v>165</v>
      </c>
      <c r="K46" t="s">
        <v>497</v>
      </c>
      <c r="L46" s="63" t="s">
        <v>255</v>
      </c>
      <c r="M46">
        <v>2287</v>
      </c>
      <c r="N46">
        <v>2029</v>
      </c>
      <c r="O46">
        <v>50</v>
      </c>
      <c r="P46">
        <v>50</v>
      </c>
      <c r="Q46">
        <v>0</v>
      </c>
      <c r="R46">
        <v>0</v>
      </c>
      <c r="S46">
        <v>2387</v>
      </c>
      <c r="T46" t="s">
        <v>256</v>
      </c>
      <c r="U46" t="s">
        <v>182</v>
      </c>
      <c r="V46" t="s">
        <v>498</v>
      </c>
      <c r="W46" t="s">
        <v>499</v>
      </c>
      <c r="X46" s="73" t="str">
        <f t="shared" si="0"/>
        <v>Open CSV</v>
      </c>
      <c r="Y46" s="73" t="str">
        <f t="shared" si="1"/>
        <v>Open PDF</v>
      </c>
      <c r="Z46" t="s">
        <v>182</v>
      </c>
    </row>
    <row r="47" spans="1:26">
      <c r="A47" t="s">
        <v>249</v>
      </c>
      <c r="B47" s="75" t="s">
        <v>479</v>
      </c>
      <c r="C47" s="47" t="s">
        <v>495</v>
      </c>
      <c r="D47" s="47" t="s">
        <v>445</v>
      </c>
      <c r="E47" s="77" t="s">
        <v>500</v>
      </c>
      <c r="F47" s="47" t="s">
        <v>501</v>
      </c>
      <c r="G47" t="s">
        <v>260</v>
      </c>
      <c r="H47" t="s">
        <v>164</v>
      </c>
      <c r="I47" t="s">
        <v>496</v>
      </c>
      <c r="J47" s="47" t="s">
        <v>165</v>
      </c>
      <c r="K47" t="s">
        <v>497</v>
      </c>
      <c r="L47" s="63" t="s">
        <v>255</v>
      </c>
      <c r="M47">
        <v>2287</v>
      </c>
      <c r="N47">
        <v>2029</v>
      </c>
      <c r="O47">
        <v>50</v>
      </c>
      <c r="P47">
        <v>50</v>
      </c>
      <c r="Q47">
        <v>0</v>
      </c>
      <c r="R47">
        <v>0</v>
      </c>
      <c r="S47">
        <v>2387</v>
      </c>
      <c r="T47" t="s">
        <v>256</v>
      </c>
      <c r="U47" t="s">
        <v>182</v>
      </c>
      <c r="V47" t="s">
        <v>502</v>
      </c>
      <c r="W47" t="s">
        <v>503</v>
      </c>
      <c r="X47" s="73" t="str">
        <f t="shared" si="0"/>
        <v>Open CSV</v>
      </c>
      <c r="Y47" s="73" t="str">
        <f t="shared" si="1"/>
        <v>Open PDF</v>
      </c>
      <c r="Z47" t="s">
        <v>182</v>
      </c>
    </row>
    <row r="48" spans="1:26">
      <c r="A48" t="s">
        <v>249</v>
      </c>
      <c r="B48" s="75" t="s">
        <v>192</v>
      </c>
      <c r="C48" s="47" t="s">
        <v>165</v>
      </c>
      <c r="D48" s="47" t="s">
        <v>165</v>
      </c>
      <c r="E48" s="77" t="s">
        <v>504</v>
      </c>
      <c r="F48" s="47" t="s">
        <v>324</v>
      </c>
      <c r="G48" t="s">
        <v>252</v>
      </c>
      <c r="H48" t="s">
        <v>164</v>
      </c>
      <c r="I48" t="s">
        <v>469</v>
      </c>
      <c r="J48" s="47" t="s">
        <v>165</v>
      </c>
      <c r="K48" t="s">
        <v>505</v>
      </c>
      <c r="L48" s="63" t="s">
        <v>255</v>
      </c>
      <c r="M48">
        <v>4179</v>
      </c>
      <c r="N48">
        <v>3838</v>
      </c>
      <c r="O48">
        <v>0</v>
      </c>
      <c r="P48">
        <v>0</v>
      </c>
      <c r="Q48" s="51">
        <v>192</v>
      </c>
      <c r="R48">
        <v>0</v>
      </c>
      <c r="S48">
        <v>4371</v>
      </c>
      <c r="T48" t="s">
        <v>256</v>
      </c>
      <c r="U48" t="s">
        <v>182</v>
      </c>
      <c r="V48" t="s">
        <v>506</v>
      </c>
      <c r="W48" t="s">
        <v>507</v>
      </c>
      <c r="X48" s="73" t="str">
        <f t="shared" si="0"/>
        <v>Open CSV</v>
      </c>
      <c r="Y48" s="73" t="str">
        <f t="shared" si="1"/>
        <v>Open PDF</v>
      </c>
      <c r="Z48" t="s">
        <v>182</v>
      </c>
    </row>
    <row r="49" spans="1:26">
      <c r="A49" t="s">
        <v>249</v>
      </c>
      <c r="B49" s="75" t="s">
        <v>192</v>
      </c>
      <c r="C49" s="47" t="s">
        <v>165</v>
      </c>
      <c r="D49" s="47" t="s">
        <v>165</v>
      </c>
      <c r="E49" s="77" t="s">
        <v>508</v>
      </c>
      <c r="F49" s="47" t="s">
        <v>349</v>
      </c>
      <c r="G49" t="s">
        <v>252</v>
      </c>
      <c r="H49" t="s">
        <v>164</v>
      </c>
      <c r="I49" t="s">
        <v>509</v>
      </c>
      <c r="J49" s="47" t="s">
        <v>165</v>
      </c>
      <c r="K49" t="s">
        <v>510</v>
      </c>
      <c r="L49" s="63" t="s">
        <v>255</v>
      </c>
      <c r="M49">
        <v>1741</v>
      </c>
      <c r="N49">
        <v>1400</v>
      </c>
      <c r="O49">
        <v>0</v>
      </c>
      <c r="P49">
        <v>0</v>
      </c>
      <c r="Q49">
        <v>70</v>
      </c>
      <c r="R49">
        <v>0</v>
      </c>
      <c r="S49">
        <v>1811</v>
      </c>
      <c r="T49" t="s">
        <v>256</v>
      </c>
      <c r="U49" t="s">
        <v>182</v>
      </c>
      <c r="V49" t="s">
        <v>511</v>
      </c>
      <c r="W49" t="s">
        <v>512</v>
      </c>
      <c r="X49" s="73" t="str">
        <f t="shared" si="0"/>
        <v>Open CSV</v>
      </c>
      <c r="Y49" s="73" t="str">
        <f t="shared" si="1"/>
        <v>Open PDF</v>
      </c>
      <c r="Z49" t="s">
        <v>182</v>
      </c>
    </row>
    <row r="50" spans="1:26">
      <c r="A50" t="s">
        <v>249</v>
      </c>
      <c r="B50" s="75" t="s">
        <v>192</v>
      </c>
      <c r="C50" s="47" t="s">
        <v>165</v>
      </c>
      <c r="D50" s="47" t="s">
        <v>165</v>
      </c>
      <c r="E50" s="77" t="s">
        <v>513</v>
      </c>
      <c r="F50" s="47" t="s">
        <v>184</v>
      </c>
      <c r="G50" t="s">
        <v>252</v>
      </c>
      <c r="H50" t="s">
        <v>164</v>
      </c>
      <c r="I50" t="s">
        <v>514</v>
      </c>
      <c r="J50" s="47" t="s">
        <v>165</v>
      </c>
      <c r="K50" t="s">
        <v>515</v>
      </c>
      <c r="L50" s="63" t="s">
        <v>255</v>
      </c>
      <c r="M50">
        <v>1925</v>
      </c>
      <c r="N50">
        <v>1584</v>
      </c>
      <c r="O50">
        <v>0</v>
      </c>
      <c r="P50">
        <v>0</v>
      </c>
      <c r="Q50">
        <v>79</v>
      </c>
      <c r="R50">
        <v>0</v>
      </c>
      <c r="S50">
        <v>2004</v>
      </c>
      <c r="T50" t="s">
        <v>256</v>
      </c>
      <c r="U50" t="s">
        <v>182</v>
      </c>
      <c r="V50" t="s">
        <v>516</v>
      </c>
      <c r="W50" t="s">
        <v>517</v>
      </c>
      <c r="X50" s="73" t="str">
        <f t="shared" si="0"/>
        <v>Open CSV</v>
      </c>
      <c r="Y50" s="73" t="str">
        <f t="shared" si="1"/>
        <v>Open PDF</v>
      </c>
      <c r="Z50" t="s">
        <v>182</v>
      </c>
    </row>
    <row r="51" spans="1:26">
      <c r="A51" t="s">
        <v>249</v>
      </c>
      <c r="B51" s="75" t="s">
        <v>192</v>
      </c>
      <c r="C51" s="47" t="s">
        <v>165</v>
      </c>
      <c r="D51" s="47" t="s">
        <v>165</v>
      </c>
      <c r="E51" s="77" t="s">
        <v>518</v>
      </c>
      <c r="F51" s="47" t="s">
        <v>416</v>
      </c>
      <c r="G51" t="s">
        <v>252</v>
      </c>
      <c r="H51" t="s">
        <v>164</v>
      </c>
      <c r="I51" t="s">
        <v>519</v>
      </c>
      <c r="J51" s="47" t="s">
        <v>165</v>
      </c>
      <c r="K51" t="s">
        <v>520</v>
      </c>
      <c r="L51" s="63" t="s">
        <v>255</v>
      </c>
      <c r="M51">
        <v>2108</v>
      </c>
      <c r="N51">
        <v>1767</v>
      </c>
      <c r="O51">
        <v>0</v>
      </c>
      <c r="P51">
        <v>0</v>
      </c>
      <c r="Q51">
        <v>88</v>
      </c>
      <c r="R51">
        <v>0</v>
      </c>
      <c r="S51">
        <v>2196</v>
      </c>
      <c r="T51" t="s">
        <v>256</v>
      </c>
      <c r="U51" t="s">
        <v>182</v>
      </c>
      <c r="V51" t="s">
        <v>521</v>
      </c>
      <c r="W51" s="73" t="s">
        <v>522</v>
      </c>
      <c r="X51" s="73" t="str">
        <f t="shared" si="0"/>
        <v>Open CSV</v>
      </c>
      <c r="Y51" s="73" t="str">
        <f t="shared" si="1"/>
        <v>Open PDF</v>
      </c>
      <c r="Z51" t="s">
        <v>182</v>
      </c>
    </row>
    <row r="52" spans="1:26">
      <c r="A52" t="s">
        <v>249</v>
      </c>
      <c r="B52" s="75" t="s">
        <v>192</v>
      </c>
      <c r="C52" s="47" t="s">
        <v>165</v>
      </c>
      <c r="D52" s="47" t="s">
        <v>165</v>
      </c>
      <c r="E52" s="77" t="s">
        <v>523</v>
      </c>
      <c r="F52" s="47" t="s">
        <v>233</v>
      </c>
      <c r="G52" t="s">
        <v>524</v>
      </c>
      <c r="H52" t="s">
        <v>164</v>
      </c>
      <c r="I52" t="s">
        <v>525</v>
      </c>
      <c r="J52" s="47" t="s">
        <v>165</v>
      </c>
      <c r="K52" t="s">
        <v>526</v>
      </c>
      <c r="L52" s="63" t="s">
        <v>255</v>
      </c>
      <c r="M52">
        <v>2612</v>
      </c>
      <c r="N52">
        <v>2293</v>
      </c>
      <c r="O52">
        <v>0</v>
      </c>
      <c r="P52">
        <v>0</v>
      </c>
      <c r="Q52" s="51">
        <v>115</v>
      </c>
      <c r="R52">
        <v>0</v>
      </c>
      <c r="S52">
        <v>2727</v>
      </c>
      <c r="T52" t="s">
        <v>527</v>
      </c>
      <c r="U52" t="s">
        <v>182</v>
      </c>
      <c r="V52" t="s">
        <v>528</v>
      </c>
      <c r="W52" t="s">
        <v>529</v>
      </c>
      <c r="X52" s="73" t="str">
        <f t="shared" si="0"/>
        <v>Open CSV</v>
      </c>
      <c r="Y52" s="73" t="str">
        <f t="shared" si="1"/>
        <v>Open PDF</v>
      </c>
      <c r="Z52" t="s">
        <v>182</v>
      </c>
    </row>
    <row r="53" spans="1:26">
      <c r="A53" t="s">
        <v>249</v>
      </c>
      <c r="B53" s="75" t="s">
        <v>192</v>
      </c>
      <c r="C53" s="47" t="s">
        <v>165</v>
      </c>
      <c r="D53" s="47" t="s">
        <v>165</v>
      </c>
      <c r="E53" s="77" t="s">
        <v>530</v>
      </c>
      <c r="F53" s="47" t="s">
        <v>531</v>
      </c>
      <c r="G53" t="s">
        <v>532</v>
      </c>
      <c r="H53" t="s">
        <v>164</v>
      </c>
      <c r="I53" t="s">
        <v>533</v>
      </c>
      <c r="J53" s="47" t="s">
        <v>165</v>
      </c>
      <c r="K53" t="s">
        <v>534</v>
      </c>
      <c r="L53" s="63" t="s">
        <v>255</v>
      </c>
      <c r="M53">
        <v>7684</v>
      </c>
      <c r="N53">
        <v>7148</v>
      </c>
      <c r="O53">
        <v>0</v>
      </c>
      <c r="P53">
        <v>0</v>
      </c>
      <c r="Q53">
        <v>358</v>
      </c>
      <c r="R53">
        <v>0</v>
      </c>
      <c r="S53">
        <v>8042</v>
      </c>
      <c r="T53" t="s">
        <v>527</v>
      </c>
      <c r="U53" t="s">
        <v>182</v>
      </c>
      <c r="V53" t="s">
        <v>535</v>
      </c>
      <c r="W53" t="s">
        <v>536</v>
      </c>
      <c r="X53" s="73" t="str">
        <f t="shared" si="0"/>
        <v>Open CSV</v>
      </c>
      <c r="Y53" s="73" t="str">
        <f t="shared" si="1"/>
        <v>Open PDF</v>
      </c>
      <c r="Z53" t="s">
        <v>182</v>
      </c>
    </row>
    <row r="54" spans="1:26">
      <c r="A54" t="s">
        <v>249</v>
      </c>
      <c r="B54" s="75" t="s">
        <v>192</v>
      </c>
      <c r="C54" s="47" t="s">
        <v>165</v>
      </c>
      <c r="D54" s="47" t="s">
        <v>165</v>
      </c>
      <c r="E54" s="77" t="s">
        <v>537</v>
      </c>
      <c r="F54" s="47" t="s">
        <v>270</v>
      </c>
      <c r="G54" t="s">
        <v>252</v>
      </c>
      <c r="H54" t="s">
        <v>164</v>
      </c>
      <c r="I54" t="s">
        <v>538</v>
      </c>
      <c r="J54" s="47" t="s">
        <v>165</v>
      </c>
      <c r="K54" t="s">
        <v>539</v>
      </c>
      <c r="L54" s="63" t="s">
        <v>255</v>
      </c>
      <c r="M54">
        <v>2034</v>
      </c>
      <c r="N54">
        <v>1496</v>
      </c>
      <c r="O54">
        <v>0</v>
      </c>
      <c r="P54">
        <v>0</v>
      </c>
      <c r="Q54">
        <v>75</v>
      </c>
      <c r="R54">
        <v>0</v>
      </c>
      <c r="S54">
        <v>2109</v>
      </c>
      <c r="T54" t="s">
        <v>256</v>
      </c>
      <c r="U54" t="s">
        <v>182</v>
      </c>
      <c r="V54" t="s">
        <v>540</v>
      </c>
      <c r="W54" t="s">
        <v>541</v>
      </c>
      <c r="X54" s="73" t="str">
        <f t="shared" si="0"/>
        <v>Open CSV</v>
      </c>
      <c r="Y54" s="73" t="str">
        <f t="shared" si="1"/>
        <v>Open PDF</v>
      </c>
      <c r="Z54" t="s">
        <v>182</v>
      </c>
    </row>
    <row r="55" spans="1:26">
      <c r="A55" t="s">
        <v>249</v>
      </c>
      <c r="B55" s="75" t="s">
        <v>192</v>
      </c>
      <c r="C55" s="47" t="s">
        <v>165</v>
      </c>
      <c r="D55" s="47" t="s">
        <v>165</v>
      </c>
      <c r="E55" s="77" t="s">
        <v>542</v>
      </c>
      <c r="F55" s="47" t="s">
        <v>543</v>
      </c>
      <c r="G55" t="s">
        <v>252</v>
      </c>
      <c r="H55" t="s">
        <v>164</v>
      </c>
      <c r="I55" t="s">
        <v>544</v>
      </c>
      <c r="J55" s="47" t="s">
        <v>165</v>
      </c>
      <c r="K55" t="s">
        <v>545</v>
      </c>
      <c r="L55" s="63" t="s">
        <v>255</v>
      </c>
      <c r="M55">
        <v>4801</v>
      </c>
      <c r="N55">
        <v>4460</v>
      </c>
      <c r="O55">
        <v>0</v>
      </c>
      <c r="P55">
        <v>0</v>
      </c>
      <c r="Q55">
        <v>223</v>
      </c>
      <c r="R55">
        <v>0</v>
      </c>
      <c r="S55">
        <v>5024</v>
      </c>
      <c r="T55" t="s">
        <v>256</v>
      </c>
      <c r="U55" t="s">
        <v>182</v>
      </c>
      <c r="V55" t="s">
        <v>546</v>
      </c>
      <c r="W55" t="s">
        <v>547</v>
      </c>
      <c r="X55" s="73" t="str">
        <f t="shared" si="0"/>
        <v>Open CSV</v>
      </c>
      <c r="Y55" s="73" t="str">
        <f t="shared" si="1"/>
        <v>Open PDF</v>
      </c>
      <c r="Z55" t="s">
        <v>182</v>
      </c>
    </row>
    <row r="56" spans="1:26">
      <c r="A56" t="s">
        <v>249</v>
      </c>
      <c r="B56" s="75" t="s">
        <v>192</v>
      </c>
      <c r="C56" s="47" t="s">
        <v>165</v>
      </c>
      <c r="D56" s="47" t="s">
        <v>165</v>
      </c>
      <c r="E56" s="77" t="s">
        <v>548</v>
      </c>
      <c r="F56" s="47" t="s">
        <v>445</v>
      </c>
      <c r="G56" t="s">
        <v>260</v>
      </c>
      <c r="H56" t="s">
        <v>164</v>
      </c>
      <c r="I56" t="s">
        <v>549</v>
      </c>
      <c r="J56" s="47" t="s">
        <v>165</v>
      </c>
      <c r="K56" t="s">
        <v>550</v>
      </c>
      <c r="L56" s="63" t="s">
        <v>255</v>
      </c>
      <c r="M56">
        <v>2390</v>
      </c>
      <c r="N56">
        <v>1800</v>
      </c>
      <c r="O56" s="51">
        <v>46</v>
      </c>
      <c r="P56" s="51">
        <v>46</v>
      </c>
      <c r="Q56">
        <v>0</v>
      </c>
      <c r="R56">
        <v>0</v>
      </c>
      <c r="S56">
        <v>2482</v>
      </c>
      <c r="T56" t="s">
        <v>256</v>
      </c>
      <c r="U56" t="s">
        <v>182</v>
      </c>
      <c r="V56" t="s">
        <v>551</v>
      </c>
      <c r="W56" t="s">
        <v>552</v>
      </c>
      <c r="X56" s="73" t="str">
        <f t="shared" si="0"/>
        <v>Open CSV</v>
      </c>
      <c r="Y56" s="73" t="str">
        <f t="shared" si="1"/>
        <v>Open PDF</v>
      </c>
      <c r="Z56" t="s">
        <v>182</v>
      </c>
    </row>
    <row r="57" spans="1:26">
      <c r="A57" t="s">
        <v>249</v>
      </c>
      <c r="B57" s="75" t="s">
        <v>479</v>
      </c>
      <c r="C57" s="47" t="s">
        <v>548</v>
      </c>
      <c r="D57" s="47" t="s">
        <v>445</v>
      </c>
      <c r="E57" s="77" t="s">
        <v>553</v>
      </c>
      <c r="F57" s="47" t="s">
        <v>501</v>
      </c>
      <c r="G57" t="s">
        <v>260</v>
      </c>
      <c r="H57" t="s">
        <v>164</v>
      </c>
      <c r="I57" t="s">
        <v>549</v>
      </c>
      <c r="J57" s="47" t="s">
        <v>165</v>
      </c>
      <c r="K57" t="s">
        <v>550</v>
      </c>
      <c r="L57" s="63" t="s">
        <v>255</v>
      </c>
      <c r="M57">
        <v>2390</v>
      </c>
      <c r="N57">
        <v>1800</v>
      </c>
      <c r="O57" s="51">
        <v>46</v>
      </c>
      <c r="P57" s="51">
        <v>46</v>
      </c>
      <c r="Q57">
        <v>0</v>
      </c>
      <c r="R57">
        <v>0</v>
      </c>
      <c r="S57">
        <v>2482</v>
      </c>
      <c r="T57" t="s">
        <v>256</v>
      </c>
      <c r="U57" t="s">
        <v>182</v>
      </c>
      <c r="V57" t="s">
        <v>554</v>
      </c>
      <c r="W57" t="s">
        <v>555</v>
      </c>
      <c r="X57" s="73" t="str">
        <f t="shared" si="0"/>
        <v>Open CSV</v>
      </c>
      <c r="Y57" s="73" t="str">
        <f t="shared" si="1"/>
        <v>Open PDF</v>
      </c>
      <c r="Z57" t="s">
        <v>182</v>
      </c>
    </row>
    <row r="58" spans="1:26">
      <c r="A58" t="s">
        <v>249</v>
      </c>
      <c r="B58" s="75" t="s">
        <v>192</v>
      </c>
      <c r="C58" s="47" t="s">
        <v>165</v>
      </c>
      <c r="D58" s="47" t="s">
        <v>165</v>
      </c>
      <c r="E58" s="77" t="s">
        <v>556</v>
      </c>
      <c r="F58" s="47" t="s">
        <v>422</v>
      </c>
      <c r="G58" t="s">
        <v>252</v>
      </c>
      <c r="H58" t="s">
        <v>164</v>
      </c>
      <c r="I58" t="s">
        <v>557</v>
      </c>
      <c r="J58" s="47" t="s">
        <v>165</v>
      </c>
      <c r="K58" t="s">
        <v>558</v>
      </c>
      <c r="L58" s="63" t="s">
        <v>255</v>
      </c>
      <c r="M58">
        <v>2392</v>
      </c>
      <c r="N58">
        <v>1878</v>
      </c>
      <c r="O58" s="51">
        <v>0</v>
      </c>
      <c r="P58" s="51">
        <v>0</v>
      </c>
      <c r="Q58">
        <v>94</v>
      </c>
      <c r="R58">
        <v>0</v>
      </c>
      <c r="S58">
        <v>2486</v>
      </c>
      <c r="T58" t="s">
        <v>256</v>
      </c>
      <c r="U58" t="s">
        <v>182</v>
      </c>
      <c r="V58" t="s">
        <v>559</v>
      </c>
      <c r="W58" t="s">
        <v>560</v>
      </c>
      <c r="X58" s="73" t="str">
        <f t="shared" si="0"/>
        <v>Open CSV</v>
      </c>
      <c r="Y58" s="73" t="str">
        <f t="shared" si="1"/>
        <v>Open PDF</v>
      </c>
      <c r="Z58" t="s">
        <v>182</v>
      </c>
    </row>
    <row r="59" spans="1:26">
      <c r="A59" t="s">
        <v>249</v>
      </c>
      <c r="B59" s="75" t="s">
        <v>192</v>
      </c>
      <c r="C59" s="47" t="s">
        <v>165</v>
      </c>
      <c r="D59" s="47" t="s">
        <v>165</v>
      </c>
      <c r="E59" s="77" t="s">
        <v>561</v>
      </c>
      <c r="F59" s="47" t="s">
        <v>422</v>
      </c>
      <c r="G59" t="s">
        <v>260</v>
      </c>
      <c r="H59" t="s">
        <v>164</v>
      </c>
      <c r="I59" t="s">
        <v>557</v>
      </c>
      <c r="J59" s="47" t="s">
        <v>165</v>
      </c>
      <c r="K59" t="s">
        <v>558</v>
      </c>
      <c r="L59" s="63" t="s">
        <v>255</v>
      </c>
      <c r="M59">
        <v>1600</v>
      </c>
      <c r="N59">
        <v>1365</v>
      </c>
      <c r="O59">
        <v>34</v>
      </c>
      <c r="P59">
        <v>34</v>
      </c>
      <c r="Q59">
        <v>0</v>
      </c>
      <c r="R59">
        <v>0</v>
      </c>
      <c r="S59">
        <v>1668</v>
      </c>
      <c r="T59" t="s">
        <v>256</v>
      </c>
      <c r="U59" t="s">
        <v>182</v>
      </c>
      <c r="V59" t="s">
        <v>562</v>
      </c>
      <c r="W59" t="s">
        <v>563</v>
      </c>
      <c r="X59" s="73" t="str">
        <f t="shared" si="0"/>
        <v>Open CSV</v>
      </c>
      <c r="Y59" s="73" t="str">
        <f t="shared" si="1"/>
        <v>Open PDF</v>
      </c>
      <c r="Z59" t="s">
        <v>182</v>
      </c>
    </row>
    <row r="60" spans="1:26">
      <c r="A60" t="s">
        <v>249</v>
      </c>
      <c r="B60" s="75" t="s">
        <v>192</v>
      </c>
      <c r="C60" s="47" t="s">
        <v>165</v>
      </c>
      <c r="D60" s="47" t="s">
        <v>165</v>
      </c>
      <c r="E60" s="77" t="s">
        <v>564</v>
      </c>
      <c r="F60" s="47" t="s">
        <v>460</v>
      </c>
      <c r="G60" t="s">
        <v>260</v>
      </c>
      <c r="H60" t="s">
        <v>164</v>
      </c>
      <c r="I60" t="s">
        <v>565</v>
      </c>
      <c r="J60" s="47" t="s">
        <v>165</v>
      </c>
      <c r="K60" t="s">
        <v>566</v>
      </c>
      <c r="L60" s="63" t="s">
        <v>255</v>
      </c>
      <c r="M60">
        <v>3599</v>
      </c>
      <c r="N60">
        <v>3340</v>
      </c>
      <c r="O60">
        <v>83</v>
      </c>
      <c r="P60">
        <v>83</v>
      </c>
      <c r="Q60">
        <v>0</v>
      </c>
      <c r="R60">
        <v>0</v>
      </c>
      <c r="S60">
        <v>3765</v>
      </c>
      <c r="T60" t="s">
        <v>256</v>
      </c>
      <c r="U60" t="s">
        <v>182</v>
      </c>
      <c r="V60" t="s">
        <v>567</v>
      </c>
      <c r="W60" t="s">
        <v>568</v>
      </c>
      <c r="X60" s="73" t="str">
        <f t="shared" si="0"/>
        <v>Open CSV</v>
      </c>
      <c r="Y60" s="73" t="str">
        <f t="shared" si="1"/>
        <v>Open PDF</v>
      </c>
      <c r="Z60" t="s">
        <v>182</v>
      </c>
    </row>
    <row r="61" spans="1:26">
      <c r="A61" t="s">
        <v>249</v>
      </c>
      <c r="B61" s="75" t="s">
        <v>192</v>
      </c>
      <c r="C61" s="47" t="s">
        <v>165</v>
      </c>
      <c r="D61" s="47" t="s">
        <v>165</v>
      </c>
      <c r="E61" s="77" t="s">
        <v>569</v>
      </c>
      <c r="F61" s="47" t="s">
        <v>460</v>
      </c>
      <c r="G61" t="s">
        <v>260</v>
      </c>
      <c r="H61" t="s">
        <v>164</v>
      </c>
      <c r="I61" t="s">
        <v>565</v>
      </c>
      <c r="J61" s="47" t="s">
        <v>165</v>
      </c>
      <c r="K61" t="s">
        <v>566</v>
      </c>
      <c r="L61" s="63" t="s">
        <v>255</v>
      </c>
      <c r="M61">
        <v>2091</v>
      </c>
      <c r="N61">
        <v>1823</v>
      </c>
      <c r="O61">
        <v>45</v>
      </c>
      <c r="P61">
        <v>45</v>
      </c>
      <c r="Q61">
        <v>0</v>
      </c>
      <c r="R61">
        <v>0</v>
      </c>
      <c r="S61">
        <v>2181</v>
      </c>
      <c r="T61" t="s">
        <v>256</v>
      </c>
      <c r="U61" t="s">
        <v>182</v>
      </c>
      <c r="V61" t="s">
        <v>570</v>
      </c>
      <c r="W61" t="s">
        <v>571</v>
      </c>
      <c r="X61" s="73" t="str">
        <f t="shared" si="0"/>
        <v>Open CSV</v>
      </c>
      <c r="Y61" s="73" t="str">
        <f t="shared" si="1"/>
        <v>Open PDF</v>
      </c>
      <c r="Z61" t="s">
        <v>182</v>
      </c>
    </row>
    <row r="62" spans="1:26">
      <c r="A62" t="s">
        <v>249</v>
      </c>
      <c r="B62" s="75" t="s">
        <v>192</v>
      </c>
      <c r="C62" s="47" t="s">
        <v>165</v>
      </c>
      <c r="D62" s="47" t="s">
        <v>165</v>
      </c>
      <c r="E62" s="77" t="s">
        <v>572</v>
      </c>
      <c r="F62" s="47" t="s">
        <v>445</v>
      </c>
      <c r="G62" t="s">
        <v>260</v>
      </c>
      <c r="H62" t="s">
        <v>164</v>
      </c>
      <c r="I62" t="s">
        <v>573</v>
      </c>
      <c r="J62" s="47" t="s">
        <v>165</v>
      </c>
      <c r="K62" t="s">
        <v>574</v>
      </c>
      <c r="L62" s="63" t="s">
        <v>255</v>
      </c>
      <c r="M62">
        <v>2390</v>
      </c>
      <c r="N62">
        <v>1800</v>
      </c>
      <c r="O62">
        <v>46</v>
      </c>
      <c r="P62">
        <v>46</v>
      </c>
      <c r="Q62">
        <v>0</v>
      </c>
      <c r="R62">
        <v>0</v>
      </c>
      <c r="S62">
        <v>2482</v>
      </c>
      <c r="T62" t="s">
        <v>256</v>
      </c>
      <c r="U62" t="s">
        <v>182</v>
      </c>
      <c r="V62" t="s">
        <v>575</v>
      </c>
      <c r="W62" t="s">
        <v>576</v>
      </c>
      <c r="X62" s="73" t="str">
        <f t="shared" si="0"/>
        <v>Open CSV</v>
      </c>
      <c r="Y62" s="73" t="str">
        <f t="shared" si="1"/>
        <v>Open PDF</v>
      </c>
      <c r="Z62" t="s">
        <v>182</v>
      </c>
    </row>
    <row r="63" spans="1:26">
      <c r="A63" t="s">
        <v>249</v>
      </c>
      <c r="B63" s="75" t="s">
        <v>479</v>
      </c>
      <c r="C63" s="47" t="s">
        <v>572</v>
      </c>
      <c r="D63" s="47" t="s">
        <v>445</v>
      </c>
      <c r="E63" s="77" t="s">
        <v>577</v>
      </c>
      <c r="F63" s="47" t="s">
        <v>501</v>
      </c>
      <c r="G63" t="s">
        <v>260</v>
      </c>
      <c r="H63" t="s">
        <v>164</v>
      </c>
      <c r="I63" t="s">
        <v>573</v>
      </c>
      <c r="J63" s="47" t="s">
        <v>165</v>
      </c>
      <c r="K63" t="s">
        <v>574</v>
      </c>
      <c r="L63" s="63" t="s">
        <v>255</v>
      </c>
      <c r="M63">
        <v>2390</v>
      </c>
      <c r="N63">
        <v>1800</v>
      </c>
      <c r="O63">
        <v>46</v>
      </c>
      <c r="P63">
        <v>46</v>
      </c>
      <c r="Q63">
        <v>0</v>
      </c>
      <c r="R63">
        <v>0</v>
      </c>
      <c r="S63">
        <v>2482</v>
      </c>
      <c r="T63" t="s">
        <v>256</v>
      </c>
      <c r="U63" t="s">
        <v>182</v>
      </c>
      <c r="V63" t="s">
        <v>578</v>
      </c>
      <c r="W63" t="s">
        <v>579</v>
      </c>
      <c r="X63" s="73" t="str">
        <f t="shared" si="0"/>
        <v>Open CSV</v>
      </c>
      <c r="Y63" s="73" t="str">
        <f t="shared" si="1"/>
        <v>Open PDF</v>
      </c>
      <c r="Z63" t="s">
        <v>182</v>
      </c>
    </row>
    <row r="64" spans="1:26">
      <c r="A64" t="s">
        <v>249</v>
      </c>
      <c r="B64" s="75" t="s">
        <v>192</v>
      </c>
      <c r="C64" s="47" t="s">
        <v>165</v>
      </c>
      <c r="D64" s="47" t="s">
        <v>165</v>
      </c>
      <c r="E64" s="77" t="s">
        <v>580</v>
      </c>
      <c r="F64" s="47" t="s">
        <v>324</v>
      </c>
      <c r="G64" t="s">
        <v>260</v>
      </c>
      <c r="H64" t="s">
        <v>164</v>
      </c>
      <c r="I64" t="s">
        <v>431</v>
      </c>
      <c r="J64" s="47" t="s">
        <v>165</v>
      </c>
      <c r="K64" t="s">
        <v>581</v>
      </c>
      <c r="L64" s="63" t="s">
        <v>255</v>
      </c>
      <c r="M64">
        <v>1614</v>
      </c>
      <c r="N64">
        <v>1355</v>
      </c>
      <c r="O64">
        <v>34</v>
      </c>
      <c r="P64">
        <v>34</v>
      </c>
      <c r="Q64">
        <v>0</v>
      </c>
      <c r="R64">
        <v>0</v>
      </c>
      <c r="S64">
        <v>1682</v>
      </c>
      <c r="T64" t="s">
        <v>256</v>
      </c>
      <c r="U64" t="s">
        <v>182</v>
      </c>
      <c r="V64" t="s">
        <v>582</v>
      </c>
      <c r="W64" t="s">
        <v>583</v>
      </c>
      <c r="X64" s="73" t="str">
        <f t="shared" si="0"/>
        <v>Open CSV</v>
      </c>
      <c r="Y64" s="73" t="str">
        <f t="shared" si="1"/>
        <v>Open PDF</v>
      </c>
      <c r="Z64" t="s">
        <v>182</v>
      </c>
    </row>
    <row r="65" spans="1:26">
      <c r="A65" t="s">
        <v>249</v>
      </c>
      <c r="B65" s="75" t="s">
        <v>192</v>
      </c>
      <c r="C65" s="47" t="s">
        <v>165</v>
      </c>
      <c r="D65" s="47" t="s">
        <v>165</v>
      </c>
      <c r="E65" s="77" t="s">
        <v>584</v>
      </c>
      <c r="F65" s="47" t="s">
        <v>460</v>
      </c>
      <c r="G65" t="s">
        <v>260</v>
      </c>
      <c r="H65" t="s">
        <v>164</v>
      </c>
      <c r="I65" t="s">
        <v>411</v>
      </c>
      <c r="J65" s="47" t="s">
        <v>165</v>
      </c>
      <c r="K65" t="s">
        <v>585</v>
      </c>
      <c r="L65" s="63" t="s">
        <v>255</v>
      </c>
      <c r="M65">
        <v>3599</v>
      </c>
      <c r="N65">
        <v>3340</v>
      </c>
      <c r="O65">
        <v>83</v>
      </c>
      <c r="P65">
        <v>83</v>
      </c>
      <c r="Q65">
        <v>0</v>
      </c>
      <c r="R65">
        <v>0</v>
      </c>
      <c r="S65">
        <v>3765</v>
      </c>
      <c r="T65" t="s">
        <v>256</v>
      </c>
      <c r="U65" t="s">
        <v>182</v>
      </c>
      <c r="V65" t="s">
        <v>586</v>
      </c>
      <c r="W65" t="s">
        <v>587</v>
      </c>
      <c r="X65" s="73" t="str">
        <f t="shared" si="0"/>
        <v>Open CSV</v>
      </c>
      <c r="Y65" s="73" t="str">
        <f t="shared" si="1"/>
        <v>Open PDF</v>
      </c>
      <c r="Z65" t="s">
        <v>182</v>
      </c>
    </row>
    <row r="66" spans="1:26">
      <c r="A66" t="s">
        <v>249</v>
      </c>
      <c r="B66" s="75" t="s">
        <v>192</v>
      </c>
      <c r="C66" s="47" t="s">
        <v>165</v>
      </c>
      <c r="D66" s="47" t="s">
        <v>165</v>
      </c>
      <c r="E66" s="77" t="s">
        <v>588</v>
      </c>
      <c r="F66" s="47" t="s">
        <v>137</v>
      </c>
      <c r="G66" t="s">
        <v>252</v>
      </c>
      <c r="H66" t="s">
        <v>164</v>
      </c>
      <c r="I66" t="s">
        <v>589</v>
      </c>
      <c r="J66" s="47" t="s">
        <v>165</v>
      </c>
      <c r="K66" t="s">
        <v>590</v>
      </c>
      <c r="L66" s="63" t="s">
        <v>255</v>
      </c>
      <c r="M66">
        <v>1925</v>
      </c>
      <c r="N66">
        <v>1584</v>
      </c>
      <c r="O66" s="51">
        <v>0</v>
      </c>
      <c r="P66" s="51">
        <v>0</v>
      </c>
      <c r="Q66">
        <v>79</v>
      </c>
      <c r="R66">
        <v>0</v>
      </c>
      <c r="S66">
        <v>2004</v>
      </c>
      <c r="T66" t="s">
        <v>256</v>
      </c>
      <c r="U66" t="s">
        <v>182</v>
      </c>
      <c r="V66" t="s">
        <v>591</v>
      </c>
      <c r="W66" t="s">
        <v>592</v>
      </c>
      <c r="X66" s="73" t="str">
        <f t="shared" si="0"/>
        <v>Open CSV</v>
      </c>
      <c r="Y66" s="73" t="str">
        <f t="shared" si="1"/>
        <v>Open PDF</v>
      </c>
      <c r="Z66" t="s">
        <v>182</v>
      </c>
    </row>
    <row r="67" spans="1:26">
      <c r="A67" t="s">
        <v>249</v>
      </c>
      <c r="B67" s="75" t="s">
        <v>192</v>
      </c>
      <c r="C67" s="47" t="s">
        <v>165</v>
      </c>
      <c r="D67" s="47" t="s">
        <v>165</v>
      </c>
      <c r="E67" s="77" t="s">
        <v>593</v>
      </c>
      <c r="F67" s="47" t="s">
        <v>244</v>
      </c>
      <c r="G67" t="s">
        <v>594</v>
      </c>
      <c r="H67" t="s">
        <v>164</v>
      </c>
      <c r="I67" t="s">
        <v>595</v>
      </c>
      <c r="J67" s="47" t="s">
        <v>165</v>
      </c>
      <c r="K67" t="s">
        <v>596</v>
      </c>
      <c r="L67" s="63" t="s">
        <v>255</v>
      </c>
      <c r="M67">
        <v>2721</v>
      </c>
      <c r="N67">
        <v>1954</v>
      </c>
      <c r="O67" s="51">
        <v>0</v>
      </c>
      <c r="P67" s="51">
        <v>0</v>
      </c>
      <c r="Q67">
        <v>98</v>
      </c>
      <c r="R67">
        <v>0</v>
      </c>
      <c r="S67">
        <v>2819</v>
      </c>
      <c r="T67" t="s">
        <v>256</v>
      </c>
      <c r="U67" t="s">
        <v>182</v>
      </c>
      <c r="V67" t="s">
        <v>597</v>
      </c>
      <c r="W67" t="s">
        <v>598</v>
      </c>
      <c r="X67" s="73" t="str">
        <f t="shared" ref="X67:X130" si="2">HYPERLINK(V67,"Open CSV")</f>
        <v>Open CSV</v>
      </c>
      <c r="Y67" s="73" t="str">
        <f t="shared" ref="Y67:Y130" si="3">HYPERLINK(W67,"Open PDF")</f>
        <v>Open PDF</v>
      </c>
      <c r="Z67" t="s">
        <v>182</v>
      </c>
    </row>
    <row r="68" spans="1:26">
      <c r="A68" t="s">
        <v>249</v>
      </c>
      <c r="B68" s="75" t="s">
        <v>192</v>
      </c>
      <c r="C68" s="47" t="s">
        <v>165</v>
      </c>
      <c r="D68" s="47" t="s">
        <v>165</v>
      </c>
      <c r="E68" s="77" t="s">
        <v>599</v>
      </c>
      <c r="F68" s="47" t="s">
        <v>460</v>
      </c>
      <c r="G68" t="s">
        <v>260</v>
      </c>
      <c r="H68" t="s">
        <v>164</v>
      </c>
      <c r="I68" t="s">
        <v>600</v>
      </c>
      <c r="J68" s="47" t="s">
        <v>165</v>
      </c>
      <c r="K68" t="s">
        <v>601</v>
      </c>
      <c r="L68" s="63" t="s">
        <v>255</v>
      </c>
      <c r="M68">
        <v>2903</v>
      </c>
      <c r="N68">
        <v>2644</v>
      </c>
      <c r="O68" s="51">
        <v>66</v>
      </c>
      <c r="P68" s="51">
        <v>66</v>
      </c>
      <c r="Q68" s="51">
        <v>0</v>
      </c>
      <c r="R68">
        <v>0</v>
      </c>
      <c r="S68">
        <v>3035</v>
      </c>
      <c r="T68" t="s">
        <v>256</v>
      </c>
      <c r="U68" t="s">
        <v>182</v>
      </c>
      <c r="V68" t="s">
        <v>602</v>
      </c>
      <c r="W68" t="s">
        <v>603</v>
      </c>
      <c r="X68" s="73" t="str">
        <f t="shared" si="2"/>
        <v>Open CSV</v>
      </c>
      <c r="Y68" s="73" t="str">
        <f t="shared" si="3"/>
        <v>Open PDF</v>
      </c>
      <c r="Z68" t="s">
        <v>182</v>
      </c>
    </row>
    <row r="69" spans="1:26">
      <c r="A69" t="s">
        <v>249</v>
      </c>
      <c r="B69" s="75" t="s">
        <v>192</v>
      </c>
      <c r="C69" s="47" t="s">
        <v>165</v>
      </c>
      <c r="D69" s="47" t="s">
        <v>165</v>
      </c>
      <c r="E69" s="77" t="s">
        <v>604</v>
      </c>
      <c r="F69" s="47" t="s">
        <v>460</v>
      </c>
      <c r="G69" t="s">
        <v>260</v>
      </c>
      <c r="H69" t="s">
        <v>164</v>
      </c>
      <c r="I69" t="s">
        <v>600</v>
      </c>
      <c r="J69" s="47" t="s">
        <v>165</v>
      </c>
      <c r="K69" t="s">
        <v>601</v>
      </c>
      <c r="L69" s="63" t="s">
        <v>255</v>
      </c>
      <c r="M69">
        <v>1871</v>
      </c>
      <c r="N69">
        <v>1603</v>
      </c>
      <c r="O69" s="51">
        <v>40</v>
      </c>
      <c r="P69" s="51">
        <v>40</v>
      </c>
      <c r="Q69">
        <v>0</v>
      </c>
      <c r="R69">
        <v>0</v>
      </c>
      <c r="S69">
        <v>1951</v>
      </c>
      <c r="T69" t="s">
        <v>256</v>
      </c>
      <c r="U69" t="s">
        <v>182</v>
      </c>
      <c r="V69" t="s">
        <v>605</v>
      </c>
      <c r="W69" t="s">
        <v>606</v>
      </c>
      <c r="X69" s="73" t="str">
        <f t="shared" si="2"/>
        <v>Open CSV</v>
      </c>
      <c r="Y69" s="73" t="str">
        <f t="shared" si="3"/>
        <v>Open PDF</v>
      </c>
      <c r="Z69" t="s">
        <v>182</v>
      </c>
    </row>
    <row r="70" spans="1:26">
      <c r="A70" t="s">
        <v>249</v>
      </c>
      <c r="B70" s="75" t="s">
        <v>192</v>
      </c>
      <c r="C70" s="47" t="s">
        <v>165</v>
      </c>
      <c r="D70" s="47" t="s">
        <v>165</v>
      </c>
      <c r="E70" s="77" t="s">
        <v>607</v>
      </c>
      <c r="F70" s="47" t="s">
        <v>608</v>
      </c>
      <c r="G70" t="s">
        <v>260</v>
      </c>
      <c r="H70" t="s">
        <v>164</v>
      </c>
      <c r="I70" t="s">
        <v>609</v>
      </c>
      <c r="J70" s="47" t="s">
        <v>165</v>
      </c>
      <c r="K70" t="s">
        <v>610</v>
      </c>
      <c r="L70" s="63" t="s">
        <v>255</v>
      </c>
      <c r="M70">
        <v>5568</v>
      </c>
      <c r="N70">
        <v>5333</v>
      </c>
      <c r="O70">
        <v>133</v>
      </c>
      <c r="P70">
        <v>133</v>
      </c>
      <c r="Q70">
        <v>0</v>
      </c>
      <c r="R70">
        <v>0</v>
      </c>
      <c r="S70">
        <v>5834</v>
      </c>
      <c r="T70" t="s">
        <v>256</v>
      </c>
      <c r="U70" t="s">
        <v>182</v>
      </c>
      <c r="V70" t="s">
        <v>611</v>
      </c>
      <c r="W70" t="s">
        <v>612</v>
      </c>
      <c r="X70" s="73" t="str">
        <f t="shared" si="2"/>
        <v>Open CSV</v>
      </c>
      <c r="Y70" s="73" t="str">
        <f t="shared" si="3"/>
        <v>Open PDF</v>
      </c>
      <c r="Z70" t="s">
        <v>182</v>
      </c>
    </row>
    <row r="71" spans="1:26">
      <c r="A71" t="s">
        <v>249</v>
      </c>
      <c r="B71" s="75" t="s">
        <v>192</v>
      </c>
      <c r="C71" s="47" t="s">
        <v>165</v>
      </c>
      <c r="D71" s="47" t="s">
        <v>165</v>
      </c>
      <c r="E71" s="77" t="s">
        <v>613</v>
      </c>
      <c r="F71" s="47" t="s">
        <v>614</v>
      </c>
      <c r="G71" t="s">
        <v>260</v>
      </c>
      <c r="H71" t="s">
        <v>164</v>
      </c>
      <c r="I71" t="s">
        <v>609</v>
      </c>
      <c r="J71" s="47" t="s">
        <v>165</v>
      </c>
      <c r="K71" t="s">
        <v>615</v>
      </c>
      <c r="L71" s="63" t="s">
        <v>255</v>
      </c>
      <c r="M71">
        <v>1735</v>
      </c>
      <c r="N71">
        <v>1476</v>
      </c>
      <c r="O71">
        <v>37</v>
      </c>
      <c r="P71">
        <v>37</v>
      </c>
      <c r="Q71">
        <v>0</v>
      </c>
      <c r="R71">
        <v>0</v>
      </c>
      <c r="S71">
        <v>1809</v>
      </c>
      <c r="T71" t="s">
        <v>256</v>
      </c>
      <c r="U71" t="s">
        <v>182</v>
      </c>
      <c r="V71" t="s">
        <v>616</v>
      </c>
      <c r="W71" t="s">
        <v>617</v>
      </c>
      <c r="X71" s="73" t="str">
        <f t="shared" si="2"/>
        <v>Open CSV</v>
      </c>
      <c r="Y71" s="73" t="str">
        <f t="shared" si="3"/>
        <v>Open PDF</v>
      </c>
      <c r="Z71" t="s">
        <v>182</v>
      </c>
    </row>
    <row r="72" spans="1:26">
      <c r="A72" t="s">
        <v>249</v>
      </c>
      <c r="B72" s="75" t="s">
        <v>192</v>
      </c>
      <c r="C72" s="47" t="s">
        <v>165</v>
      </c>
      <c r="D72" s="47" t="s">
        <v>165</v>
      </c>
      <c r="E72" s="77" t="s">
        <v>618</v>
      </c>
      <c r="F72" s="47" t="s">
        <v>251</v>
      </c>
      <c r="G72" t="s">
        <v>252</v>
      </c>
      <c r="H72" t="s">
        <v>164</v>
      </c>
      <c r="I72" t="s">
        <v>469</v>
      </c>
      <c r="J72" s="47" t="s">
        <v>165</v>
      </c>
      <c r="K72" t="s">
        <v>619</v>
      </c>
      <c r="L72" s="63" t="s">
        <v>255</v>
      </c>
      <c r="M72">
        <v>1899</v>
      </c>
      <c r="N72">
        <v>1385</v>
      </c>
      <c r="O72">
        <v>0</v>
      </c>
      <c r="P72">
        <v>0</v>
      </c>
      <c r="Q72">
        <v>70</v>
      </c>
      <c r="R72">
        <v>0</v>
      </c>
      <c r="S72">
        <v>1969</v>
      </c>
      <c r="T72" t="s">
        <v>256</v>
      </c>
      <c r="U72" t="s">
        <v>182</v>
      </c>
      <c r="V72" t="s">
        <v>620</v>
      </c>
      <c r="W72" t="s">
        <v>621</v>
      </c>
      <c r="X72" s="73" t="str">
        <f t="shared" si="2"/>
        <v>Open CSV</v>
      </c>
      <c r="Y72" s="73" t="str">
        <f t="shared" si="3"/>
        <v>Open PDF</v>
      </c>
      <c r="Z72" t="s">
        <v>182</v>
      </c>
    </row>
    <row r="73" spans="1:26">
      <c r="A73" t="s">
        <v>249</v>
      </c>
      <c r="B73" s="75" t="s">
        <v>192</v>
      </c>
      <c r="C73" s="47" t="s">
        <v>165</v>
      </c>
      <c r="D73" s="47" t="s">
        <v>165</v>
      </c>
      <c r="E73" s="77" t="s">
        <v>622</v>
      </c>
      <c r="F73" s="47" t="s">
        <v>251</v>
      </c>
      <c r="G73" t="s">
        <v>260</v>
      </c>
      <c r="H73" t="s">
        <v>164</v>
      </c>
      <c r="I73" t="s">
        <v>469</v>
      </c>
      <c r="J73" s="47" t="s">
        <v>165</v>
      </c>
      <c r="K73" t="s">
        <v>619</v>
      </c>
      <c r="L73" s="63" t="s">
        <v>255</v>
      </c>
      <c r="M73">
        <v>1600</v>
      </c>
      <c r="N73">
        <v>1365</v>
      </c>
      <c r="O73">
        <v>34</v>
      </c>
      <c r="P73">
        <v>34</v>
      </c>
      <c r="Q73">
        <v>0</v>
      </c>
      <c r="R73">
        <v>0</v>
      </c>
      <c r="S73">
        <v>1668</v>
      </c>
      <c r="T73" t="s">
        <v>256</v>
      </c>
      <c r="U73" t="s">
        <v>182</v>
      </c>
      <c r="V73" t="s">
        <v>623</v>
      </c>
      <c r="W73" t="s">
        <v>624</v>
      </c>
      <c r="X73" s="73" t="str">
        <f t="shared" si="2"/>
        <v>Open CSV</v>
      </c>
      <c r="Y73" s="73" t="str">
        <f t="shared" si="3"/>
        <v>Open PDF</v>
      </c>
      <c r="Z73" t="s">
        <v>182</v>
      </c>
    </row>
    <row r="74" spans="1:26">
      <c r="A74" t="s">
        <v>249</v>
      </c>
      <c r="B74" s="75" t="s">
        <v>192</v>
      </c>
      <c r="C74" s="47" t="s">
        <v>165</v>
      </c>
      <c r="D74" s="47" t="s">
        <v>165</v>
      </c>
      <c r="E74" s="77" t="s">
        <v>625</v>
      </c>
      <c r="F74" s="47" t="s">
        <v>264</v>
      </c>
      <c r="G74" t="s">
        <v>260</v>
      </c>
      <c r="H74" t="s">
        <v>164</v>
      </c>
      <c r="I74" t="s">
        <v>411</v>
      </c>
      <c r="J74" s="47" t="s">
        <v>165</v>
      </c>
      <c r="K74" t="s">
        <v>626</v>
      </c>
      <c r="L74" s="63" t="s">
        <v>255</v>
      </c>
      <c r="M74">
        <v>2158</v>
      </c>
      <c r="N74">
        <v>1899</v>
      </c>
      <c r="O74">
        <v>47</v>
      </c>
      <c r="P74">
        <v>47</v>
      </c>
      <c r="Q74">
        <v>0</v>
      </c>
      <c r="R74">
        <v>0</v>
      </c>
      <c r="S74">
        <v>2252</v>
      </c>
      <c r="T74" t="s">
        <v>256</v>
      </c>
      <c r="U74" t="s">
        <v>182</v>
      </c>
      <c r="V74" t="s">
        <v>627</v>
      </c>
      <c r="W74" t="s">
        <v>628</v>
      </c>
      <c r="X74" s="73" t="str">
        <f t="shared" si="2"/>
        <v>Open CSV</v>
      </c>
      <c r="Y74" s="73" t="str">
        <f t="shared" si="3"/>
        <v>Open PDF</v>
      </c>
      <c r="Z74" t="s">
        <v>182</v>
      </c>
    </row>
    <row r="75" spans="1:26">
      <c r="A75" t="s">
        <v>249</v>
      </c>
      <c r="B75" s="75" t="s">
        <v>192</v>
      </c>
      <c r="C75" s="47" t="s">
        <v>165</v>
      </c>
      <c r="D75" s="47" t="s">
        <v>165</v>
      </c>
      <c r="E75" s="77" t="s">
        <v>629</v>
      </c>
      <c r="F75" s="47" t="s">
        <v>445</v>
      </c>
      <c r="G75" t="s">
        <v>260</v>
      </c>
      <c r="H75" t="s">
        <v>164</v>
      </c>
      <c r="I75" t="s">
        <v>630</v>
      </c>
      <c r="J75" s="47" t="s">
        <v>165</v>
      </c>
      <c r="K75" t="s">
        <v>631</v>
      </c>
      <c r="L75" s="63" t="s">
        <v>255</v>
      </c>
      <c r="M75">
        <v>2390</v>
      </c>
      <c r="N75">
        <v>1800</v>
      </c>
      <c r="O75">
        <v>46</v>
      </c>
      <c r="P75">
        <v>46</v>
      </c>
      <c r="Q75">
        <v>0</v>
      </c>
      <c r="R75">
        <v>0</v>
      </c>
      <c r="S75">
        <v>2482</v>
      </c>
      <c r="T75" t="s">
        <v>256</v>
      </c>
      <c r="U75" t="s">
        <v>182</v>
      </c>
      <c r="V75" t="s">
        <v>632</v>
      </c>
      <c r="W75" t="s">
        <v>633</v>
      </c>
      <c r="X75" s="73" t="str">
        <f t="shared" si="2"/>
        <v>Open CSV</v>
      </c>
      <c r="Y75" s="73" t="str">
        <f t="shared" si="3"/>
        <v>Open PDF</v>
      </c>
      <c r="Z75" t="s">
        <v>182</v>
      </c>
    </row>
    <row r="76" spans="1:26">
      <c r="A76" t="s">
        <v>249</v>
      </c>
      <c r="B76" s="75" t="s">
        <v>479</v>
      </c>
      <c r="C76" s="47" t="s">
        <v>629</v>
      </c>
      <c r="D76" s="47" t="s">
        <v>445</v>
      </c>
      <c r="E76" s="77" t="s">
        <v>634</v>
      </c>
      <c r="F76" s="47" t="s">
        <v>501</v>
      </c>
      <c r="G76" t="s">
        <v>260</v>
      </c>
      <c r="H76" t="s">
        <v>164</v>
      </c>
      <c r="I76" t="s">
        <v>630</v>
      </c>
      <c r="J76" s="47" t="s">
        <v>165</v>
      </c>
      <c r="K76" t="s">
        <v>631</v>
      </c>
      <c r="L76" s="63" t="s">
        <v>255</v>
      </c>
      <c r="M76">
        <v>2390</v>
      </c>
      <c r="N76">
        <v>1800</v>
      </c>
      <c r="O76">
        <v>46</v>
      </c>
      <c r="P76">
        <v>46</v>
      </c>
      <c r="Q76">
        <v>0</v>
      </c>
      <c r="R76">
        <v>0</v>
      </c>
      <c r="S76">
        <v>2482</v>
      </c>
      <c r="T76" t="s">
        <v>256</v>
      </c>
      <c r="U76" t="s">
        <v>182</v>
      </c>
      <c r="V76" t="s">
        <v>635</v>
      </c>
      <c r="W76" t="s">
        <v>636</v>
      </c>
      <c r="X76" s="73" t="str">
        <f t="shared" si="2"/>
        <v>Open CSV</v>
      </c>
      <c r="Y76" s="73" t="str">
        <f t="shared" si="3"/>
        <v>Open PDF</v>
      </c>
      <c r="Z76" t="s">
        <v>182</v>
      </c>
    </row>
    <row r="77" spans="1:26">
      <c r="A77" t="s">
        <v>249</v>
      </c>
      <c r="B77" s="75" t="s">
        <v>192</v>
      </c>
      <c r="C77" s="47" t="s">
        <v>165</v>
      </c>
      <c r="D77" s="47" t="s">
        <v>165</v>
      </c>
      <c r="E77" s="77" t="s">
        <v>637</v>
      </c>
      <c r="F77" s="47" t="s">
        <v>233</v>
      </c>
      <c r="G77" t="s">
        <v>252</v>
      </c>
      <c r="H77" t="s">
        <v>164</v>
      </c>
      <c r="I77" t="s">
        <v>638</v>
      </c>
      <c r="J77" s="47" t="s">
        <v>165</v>
      </c>
      <c r="K77" t="s">
        <v>639</v>
      </c>
      <c r="L77" s="63" t="s">
        <v>255</v>
      </c>
      <c r="M77">
        <v>6669</v>
      </c>
      <c r="N77">
        <v>6328</v>
      </c>
      <c r="O77">
        <v>0</v>
      </c>
      <c r="P77">
        <v>0</v>
      </c>
      <c r="Q77">
        <v>317</v>
      </c>
      <c r="R77">
        <v>0</v>
      </c>
      <c r="S77">
        <v>6986</v>
      </c>
      <c r="T77" t="s">
        <v>256</v>
      </c>
      <c r="U77" t="s">
        <v>182</v>
      </c>
      <c r="V77" t="s">
        <v>640</v>
      </c>
      <c r="W77" t="s">
        <v>641</v>
      </c>
      <c r="X77" s="73" t="str">
        <f t="shared" si="2"/>
        <v>Open CSV</v>
      </c>
      <c r="Y77" s="73" t="str">
        <f t="shared" si="3"/>
        <v>Open PDF</v>
      </c>
      <c r="Z77" t="s">
        <v>182</v>
      </c>
    </row>
    <row r="78" spans="1:26">
      <c r="A78" t="s">
        <v>249</v>
      </c>
      <c r="B78" s="75" t="s">
        <v>192</v>
      </c>
      <c r="C78" s="47" t="s">
        <v>165</v>
      </c>
      <c r="D78" s="47" t="s">
        <v>165</v>
      </c>
      <c r="E78" s="77" t="s">
        <v>642</v>
      </c>
      <c r="F78" s="47" t="s">
        <v>330</v>
      </c>
      <c r="G78" t="s">
        <v>252</v>
      </c>
      <c r="H78" t="s">
        <v>164</v>
      </c>
      <c r="I78" t="s">
        <v>455</v>
      </c>
      <c r="J78" s="47" t="s">
        <v>165</v>
      </c>
      <c r="K78" t="s">
        <v>643</v>
      </c>
      <c r="L78" s="63" t="s">
        <v>255</v>
      </c>
      <c r="M78">
        <v>1925</v>
      </c>
      <c r="N78">
        <v>1584</v>
      </c>
      <c r="O78">
        <v>0</v>
      </c>
      <c r="P78">
        <v>0</v>
      </c>
      <c r="Q78">
        <v>79</v>
      </c>
      <c r="R78">
        <v>0</v>
      </c>
      <c r="S78">
        <v>2004</v>
      </c>
      <c r="T78" t="s">
        <v>256</v>
      </c>
      <c r="U78" t="s">
        <v>182</v>
      </c>
      <c r="V78" t="s">
        <v>644</v>
      </c>
      <c r="W78" t="s">
        <v>645</v>
      </c>
      <c r="X78" s="73" t="str">
        <f t="shared" si="2"/>
        <v>Open CSV</v>
      </c>
      <c r="Y78" s="73" t="str">
        <f t="shared" si="3"/>
        <v>Open PDF</v>
      </c>
      <c r="Z78" t="s">
        <v>182</v>
      </c>
    </row>
    <row r="79" spans="1:26">
      <c r="A79" t="s">
        <v>249</v>
      </c>
      <c r="B79" s="75" t="s">
        <v>192</v>
      </c>
      <c r="C79" s="47" t="s">
        <v>165</v>
      </c>
      <c r="D79" s="47" t="s">
        <v>165</v>
      </c>
      <c r="E79" s="77" t="s">
        <v>646</v>
      </c>
      <c r="F79" s="47" t="s">
        <v>244</v>
      </c>
      <c r="G79" t="s">
        <v>260</v>
      </c>
      <c r="H79" t="s">
        <v>164</v>
      </c>
      <c r="I79" t="s">
        <v>595</v>
      </c>
      <c r="J79" s="47" t="s">
        <v>165</v>
      </c>
      <c r="K79" t="s">
        <v>647</v>
      </c>
      <c r="L79" s="63" t="s">
        <v>255</v>
      </c>
      <c r="M79">
        <v>2012</v>
      </c>
      <c r="N79">
        <v>1754</v>
      </c>
      <c r="O79">
        <v>44</v>
      </c>
      <c r="P79">
        <v>44</v>
      </c>
      <c r="Q79" s="51">
        <v>0</v>
      </c>
      <c r="R79">
        <v>0</v>
      </c>
      <c r="S79">
        <v>2100</v>
      </c>
      <c r="T79" t="s">
        <v>256</v>
      </c>
      <c r="U79" t="s">
        <v>182</v>
      </c>
      <c r="V79" t="s">
        <v>648</v>
      </c>
      <c r="W79" t="s">
        <v>649</v>
      </c>
      <c r="X79" s="73" t="str">
        <f t="shared" si="2"/>
        <v>Open CSV</v>
      </c>
      <c r="Y79" s="73" t="str">
        <f t="shared" si="3"/>
        <v>Open PDF</v>
      </c>
      <c r="Z79" t="s">
        <v>182</v>
      </c>
    </row>
    <row r="80" spans="1:26">
      <c r="A80" t="s">
        <v>249</v>
      </c>
      <c r="B80" s="75" t="s">
        <v>192</v>
      </c>
      <c r="C80" s="47" t="s">
        <v>165</v>
      </c>
      <c r="D80" s="47" t="s">
        <v>165</v>
      </c>
      <c r="E80" s="77" t="s">
        <v>650</v>
      </c>
      <c r="F80" s="47" t="s">
        <v>651</v>
      </c>
      <c r="G80" t="s">
        <v>252</v>
      </c>
      <c r="H80" t="s">
        <v>164</v>
      </c>
      <c r="I80" t="s">
        <v>343</v>
      </c>
      <c r="J80" s="47" t="s">
        <v>165</v>
      </c>
      <c r="K80" t="s">
        <v>652</v>
      </c>
      <c r="L80" s="63" t="s">
        <v>255</v>
      </c>
      <c r="M80">
        <v>2112</v>
      </c>
      <c r="N80">
        <v>1598</v>
      </c>
      <c r="O80">
        <v>0</v>
      </c>
      <c r="P80">
        <v>0</v>
      </c>
      <c r="Q80">
        <v>80</v>
      </c>
      <c r="R80">
        <v>0</v>
      </c>
      <c r="S80">
        <v>2192</v>
      </c>
      <c r="T80" t="s">
        <v>256</v>
      </c>
      <c r="U80" t="s">
        <v>182</v>
      </c>
      <c r="V80" t="s">
        <v>653</v>
      </c>
      <c r="W80" t="s">
        <v>654</v>
      </c>
      <c r="X80" s="73" t="str">
        <f t="shared" si="2"/>
        <v>Open CSV</v>
      </c>
      <c r="Y80" s="73" t="str">
        <f t="shared" si="3"/>
        <v>Open PDF</v>
      </c>
      <c r="Z80" t="s">
        <v>182</v>
      </c>
    </row>
    <row r="81" spans="1:26">
      <c r="A81" t="s">
        <v>249</v>
      </c>
      <c r="B81" s="75" t="s">
        <v>192</v>
      </c>
      <c r="C81" s="47" t="s">
        <v>165</v>
      </c>
      <c r="D81" s="47" t="s">
        <v>165</v>
      </c>
      <c r="E81" s="77" t="s">
        <v>655</v>
      </c>
      <c r="F81" s="47" t="s">
        <v>651</v>
      </c>
      <c r="G81" t="s">
        <v>260</v>
      </c>
      <c r="H81" t="s">
        <v>164</v>
      </c>
      <c r="I81" t="s">
        <v>343</v>
      </c>
      <c r="J81" s="47" t="s">
        <v>165</v>
      </c>
      <c r="K81" t="s">
        <v>652</v>
      </c>
      <c r="L81" s="63" t="s">
        <v>255</v>
      </c>
      <c r="M81">
        <v>1600</v>
      </c>
      <c r="N81">
        <v>1365</v>
      </c>
      <c r="O81">
        <v>34</v>
      </c>
      <c r="P81">
        <v>34</v>
      </c>
      <c r="Q81">
        <v>0</v>
      </c>
      <c r="R81">
        <v>0</v>
      </c>
      <c r="S81">
        <v>1668</v>
      </c>
      <c r="T81" t="s">
        <v>256</v>
      </c>
      <c r="U81" t="s">
        <v>182</v>
      </c>
      <c r="V81" t="s">
        <v>656</v>
      </c>
      <c r="W81" t="s">
        <v>657</v>
      </c>
      <c r="X81" s="73" t="str">
        <f t="shared" si="2"/>
        <v>Open CSV</v>
      </c>
      <c r="Y81" s="73" t="str">
        <f t="shared" si="3"/>
        <v>Open PDF</v>
      </c>
      <c r="Z81" t="s">
        <v>182</v>
      </c>
    </row>
    <row r="82" spans="1:26">
      <c r="A82" t="s">
        <v>249</v>
      </c>
      <c r="B82" s="75" t="s">
        <v>192</v>
      </c>
      <c r="C82" s="47" t="s">
        <v>165</v>
      </c>
      <c r="D82" s="47" t="s">
        <v>165</v>
      </c>
      <c r="E82" s="77" t="s">
        <v>658</v>
      </c>
      <c r="F82" s="47" t="s">
        <v>184</v>
      </c>
      <c r="G82" t="s">
        <v>260</v>
      </c>
      <c r="H82" t="s">
        <v>164</v>
      </c>
      <c r="I82" t="s">
        <v>514</v>
      </c>
      <c r="J82" s="47" t="s">
        <v>165</v>
      </c>
      <c r="K82" t="s">
        <v>659</v>
      </c>
      <c r="L82" s="63" t="s">
        <v>255</v>
      </c>
      <c r="M82">
        <v>1823</v>
      </c>
      <c r="N82">
        <v>1564</v>
      </c>
      <c r="O82">
        <v>39</v>
      </c>
      <c r="P82">
        <v>39</v>
      </c>
      <c r="Q82">
        <v>0</v>
      </c>
      <c r="R82">
        <v>0</v>
      </c>
      <c r="S82">
        <v>1901</v>
      </c>
      <c r="T82" t="s">
        <v>256</v>
      </c>
      <c r="U82" t="s">
        <v>182</v>
      </c>
      <c r="V82" t="s">
        <v>660</v>
      </c>
      <c r="W82" t="s">
        <v>661</v>
      </c>
      <c r="X82" s="73" t="str">
        <f t="shared" si="2"/>
        <v>Open CSV</v>
      </c>
      <c r="Y82" s="73" t="str">
        <f t="shared" si="3"/>
        <v>Open PDF</v>
      </c>
      <c r="Z82" t="s">
        <v>182</v>
      </c>
    </row>
    <row r="83" spans="1:26">
      <c r="A83" t="s">
        <v>249</v>
      </c>
      <c r="B83" s="75" t="s">
        <v>192</v>
      </c>
      <c r="C83" s="47" t="s">
        <v>165</v>
      </c>
      <c r="D83" s="47" t="s">
        <v>165</v>
      </c>
      <c r="E83" s="77" t="s">
        <v>662</v>
      </c>
      <c r="F83" s="47" t="s">
        <v>474</v>
      </c>
      <c r="G83" t="s">
        <v>252</v>
      </c>
      <c r="H83" t="s">
        <v>164</v>
      </c>
      <c r="I83" t="s">
        <v>475</v>
      </c>
      <c r="J83" s="47" t="s">
        <v>165</v>
      </c>
      <c r="K83" t="s">
        <v>663</v>
      </c>
      <c r="L83" s="63" t="s">
        <v>255</v>
      </c>
      <c r="M83">
        <v>1925</v>
      </c>
      <c r="N83">
        <v>1584</v>
      </c>
      <c r="O83">
        <v>0</v>
      </c>
      <c r="P83">
        <v>0</v>
      </c>
      <c r="Q83">
        <v>79</v>
      </c>
      <c r="R83">
        <v>0</v>
      </c>
      <c r="S83">
        <v>2004</v>
      </c>
      <c r="T83" t="s">
        <v>256</v>
      </c>
      <c r="U83" t="s">
        <v>182</v>
      </c>
      <c r="V83" t="s">
        <v>664</v>
      </c>
      <c r="W83" t="s">
        <v>665</v>
      </c>
      <c r="X83" s="73" t="str">
        <f t="shared" si="2"/>
        <v>Open CSV</v>
      </c>
      <c r="Y83" s="73" t="str">
        <f t="shared" si="3"/>
        <v>Open PDF</v>
      </c>
      <c r="Z83" t="s">
        <v>182</v>
      </c>
    </row>
    <row r="84" spans="1:26">
      <c r="A84" t="s">
        <v>249</v>
      </c>
      <c r="B84" s="75" t="s">
        <v>479</v>
      </c>
      <c r="C84" s="47" t="s">
        <v>662</v>
      </c>
      <c r="D84" s="47" t="s">
        <v>474</v>
      </c>
      <c r="E84" s="77" t="s">
        <v>666</v>
      </c>
      <c r="F84" s="47" t="s">
        <v>481</v>
      </c>
      <c r="G84" t="s">
        <v>252</v>
      </c>
      <c r="H84" t="s">
        <v>164</v>
      </c>
      <c r="I84" t="s">
        <v>475</v>
      </c>
      <c r="J84" s="47" t="s">
        <v>165</v>
      </c>
      <c r="K84" t="s">
        <v>663</v>
      </c>
      <c r="L84" s="63" t="s">
        <v>255</v>
      </c>
      <c r="M84">
        <v>1925</v>
      </c>
      <c r="N84">
        <v>1584</v>
      </c>
      <c r="O84">
        <v>0</v>
      </c>
      <c r="P84">
        <v>0</v>
      </c>
      <c r="Q84">
        <v>79</v>
      </c>
      <c r="R84">
        <v>0</v>
      </c>
      <c r="S84">
        <v>2004</v>
      </c>
      <c r="T84" t="s">
        <v>256</v>
      </c>
      <c r="U84" t="s">
        <v>182</v>
      </c>
      <c r="V84" t="s">
        <v>667</v>
      </c>
      <c r="W84" t="s">
        <v>668</v>
      </c>
      <c r="X84" s="73" t="str">
        <f t="shared" si="2"/>
        <v>Open CSV</v>
      </c>
      <c r="Y84" s="73" t="str">
        <f t="shared" si="3"/>
        <v>Open PDF</v>
      </c>
      <c r="Z84" t="s">
        <v>182</v>
      </c>
    </row>
    <row r="85" spans="1:26">
      <c r="A85" t="s">
        <v>249</v>
      </c>
      <c r="B85" s="75" t="s">
        <v>192</v>
      </c>
      <c r="C85" s="47" t="s">
        <v>165</v>
      </c>
      <c r="D85" s="47" t="s">
        <v>165</v>
      </c>
      <c r="E85" s="77" t="s">
        <v>669</v>
      </c>
      <c r="F85" s="47" t="s">
        <v>614</v>
      </c>
      <c r="G85" t="s">
        <v>252</v>
      </c>
      <c r="H85" t="s">
        <v>164</v>
      </c>
      <c r="I85" t="s">
        <v>609</v>
      </c>
      <c r="J85" s="47" t="s">
        <v>165</v>
      </c>
      <c r="K85" t="s">
        <v>670</v>
      </c>
      <c r="L85" s="63" t="s">
        <v>255</v>
      </c>
      <c r="M85">
        <v>2034</v>
      </c>
      <c r="N85">
        <v>1496</v>
      </c>
      <c r="O85">
        <v>0</v>
      </c>
      <c r="P85">
        <v>0</v>
      </c>
      <c r="Q85">
        <v>75</v>
      </c>
      <c r="R85">
        <v>0</v>
      </c>
      <c r="S85">
        <v>2109</v>
      </c>
      <c r="T85" t="s">
        <v>256</v>
      </c>
      <c r="U85" t="s">
        <v>182</v>
      </c>
      <c r="V85" t="s">
        <v>671</v>
      </c>
      <c r="W85" t="s">
        <v>672</v>
      </c>
      <c r="X85" s="73" t="str">
        <f t="shared" si="2"/>
        <v>Open CSV</v>
      </c>
      <c r="Y85" s="73" t="str">
        <f t="shared" si="3"/>
        <v>Open PDF</v>
      </c>
      <c r="Z85" t="s">
        <v>182</v>
      </c>
    </row>
    <row r="86" spans="1:26">
      <c r="A86" t="s">
        <v>249</v>
      </c>
      <c r="B86" s="75" t="s">
        <v>192</v>
      </c>
      <c r="C86" s="47" t="s">
        <v>165</v>
      </c>
      <c r="D86" s="47" t="s">
        <v>165</v>
      </c>
      <c r="E86" s="77" t="s">
        <v>673</v>
      </c>
      <c r="F86" s="47" t="s">
        <v>674</v>
      </c>
      <c r="G86" t="s">
        <v>252</v>
      </c>
      <c r="H86" t="s">
        <v>164</v>
      </c>
      <c r="I86" t="s">
        <v>675</v>
      </c>
      <c r="J86" s="47" t="s">
        <v>165</v>
      </c>
      <c r="K86" t="s">
        <v>676</v>
      </c>
      <c r="L86" s="63" t="s">
        <v>255</v>
      </c>
      <c r="M86">
        <v>2887</v>
      </c>
      <c r="N86">
        <v>2546</v>
      </c>
      <c r="O86">
        <v>0</v>
      </c>
      <c r="P86">
        <v>0</v>
      </c>
      <c r="Q86">
        <v>128</v>
      </c>
      <c r="R86">
        <v>0</v>
      </c>
      <c r="S86">
        <v>3015</v>
      </c>
      <c r="T86" t="s">
        <v>256</v>
      </c>
      <c r="U86" t="s">
        <v>182</v>
      </c>
      <c r="V86" t="s">
        <v>677</v>
      </c>
      <c r="W86" t="s">
        <v>678</v>
      </c>
      <c r="X86" s="73" t="str">
        <f t="shared" si="2"/>
        <v>Open CSV</v>
      </c>
      <c r="Y86" s="73" t="str">
        <f t="shared" si="3"/>
        <v>Open PDF</v>
      </c>
      <c r="Z86" t="s">
        <v>182</v>
      </c>
    </row>
    <row r="87" spans="1:26">
      <c r="A87" t="s">
        <v>249</v>
      </c>
      <c r="B87" s="75" t="s">
        <v>192</v>
      </c>
      <c r="C87" s="47" t="s">
        <v>165</v>
      </c>
      <c r="D87" s="47" t="s">
        <v>165</v>
      </c>
      <c r="E87" s="77" t="s">
        <v>679</v>
      </c>
      <c r="F87" s="47" t="s">
        <v>680</v>
      </c>
      <c r="G87" t="s">
        <v>260</v>
      </c>
      <c r="H87" t="s">
        <v>164</v>
      </c>
      <c r="I87" t="s">
        <v>681</v>
      </c>
      <c r="J87" s="47" t="s">
        <v>165</v>
      </c>
      <c r="K87" t="s">
        <v>682</v>
      </c>
      <c r="L87" s="63" t="s">
        <v>255</v>
      </c>
      <c r="M87">
        <v>1639</v>
      </c>
      <c r="N87">
        <v>1380</v>
      </c>
      <c r="O87">
        <v>35</v>
      </c>
      <c r="P87">
        <v>35</v>
      </c>
      <c r="Q87">
        <v>0</v>
      </c>
      <c r="R87">
        <v>0</v>
      </c>
      <c r="S87">
        <v>1709</v>
      </c>
      <c r="T87" t="s">
        <v>256</v>
      </c>
      <c r="U87" t="s">
        <v>182</v>
      </c>
      <c r="V87" t="s">
        <v>683</v>
      </c>
      <c r="W87" t="s">
        <v>684</v>
      </c>
      <c r="X87" s="73" t="str">
        <f t="shared" si="2"/>
        <v>Open CSV</v>
      </c>
      <c r="Y87" s="73" t="str">
        <f t="shared" si="3"/>
        <v>Open PDF</v>
      </c>
      <c r="Z87" t="s">
        <v>182</v>
      </c>
    </row>
    <row r="88" spans="1:26">
      <c r="A88" t="s">
        <v>249</v>
      </c>
      <c r="B88" s="75" t="s">
        <v>192</v>
      </c>
      <c r="C88" s="47" t="s">
        <v>165</v>
      </c>
      <c r="D88" s="47" t="s">
        <v>165</v>
      </c>
      <c r="E88" s="77" t="s">
        <v>685</v>
      </c>
      <c r="F88" s="47" t="s">
        <v>137</v>
      </c>
      <c r="G88" t="s">
        <v>260</v>
      </c>
      <c r="H88" t="s">
        <v>164</v>
      </c>
      <c r="I88" t="s">
        <v>509</v>
      </c>
      <c r="J88" s="47" t="s">
        <v>165</v>
      </c>
      <c r="K88" t="s">
        <v>686</v>
      </c>
      <c r="L88" s="63" t="s">
        <v>255</v>
      </c>
      <c r="M88">
        <v>1614</v>
      </c>
      <c r="N88">
        <v>1355</v>
      </c>
      <c r="O88">
        <v>34</v>
      </c>
      <c r="P88">
        <v>34</v>
      </c>
      <c r="Q88">
        <v>0</v>
      </c>
      <c r="R88">
        <v>0</v>
      </c>
      <c r="S88">
        <v>1682</v>
      </c>
      <c r="T88" t="s">
        <v>256</v>
      </c>
      <c r="U88" t="s">
        <v>182</v>
      </c>
      <c r="V88" t="s">
        <v>687</v>
      </c>
      <c r="W88" t="s">
        <v>688</v>
      </c>
      <c r="X88" s="73" t="str">
        <f t="shared" si="2"/>
        <v>Open CSV</v>
      </c>
      <c r="Y88" s="73" t="str">
        <f t="shared" si="3"/>
        <v>Open PDF</v>
      </c>
      <c r="Z88" t="s">
        <v>182</v>
      </c>
    </row>
    <row r="89" spans="1:26">
      <c r="A89" t="s">
        <v>249</v>
      </c>
      <c r="B89" s="75" t="s">
        <v>192</v>
      </c>
      <c r="C89" s="47" t="s">
        <v>165</v>
      </c>
      <c r="D89" s="47" t="s">
        <v>165</v>
      </c>
      <c r="E89" s="77" t="s">
        <v>689</v>
      </c>
      <c r="F89" s="47" t="s">
        <v>416</v>
      </c>
      <c r="G89" t="s">
        <v>260</v>
      </c>
      <c r="H89" t="s">
        <v>164</v>
      </c>
      <c r="I89" t="s">
        <v>417</v>
      </c>
      <c r="J89" s="47" t="s">
        <v>165</v>
      </c>
      <c r="K89" t="s">
        <v>690</v>
      </c>
      <c r="L89" s="63" t="s">
        <v>255</v>
      </c>
      <c r="M89">
        <v>1748</v>
      </c>
      <c r="N89">
        <v>1489</v>
      </c>
      <c r="O89">
        <v>37</v>
      </c>
      <c r="P89">
        <v>37</v>
      </c>
      <c r="Q89">
        <v>0</v>
      </c>
      <c r="R89">
        <v>0</v>
      </c>
      <c r="S89">
        <v>1822</v>
      </c>
      <c r="T89" t="s">
        <v>256</v>
      </c>
      <c r="U89" t="s">
        <v>182</v>
      </c>
      <c r="V89" t="s">
        <v>691</v>
      </c>
      <c r="W89" t="s">
        <v>692</v>
      </c>
      <c r="X89" s="73" t="str">
        <f t="shared" si="2"/>
        <v>Open CSV</v>
      </c>
      <c r="Y89" s="73" t="str">
        <f t="shared" si="3"/>
        <v>Open PDF</v>
      </c>
      <c r="Z89" t="s">
        <v>182</v>
      </c>
    </row>
    <row r="90" spans="1:26">
      <c r="A90" t="s">
        <v>249</v>
      </c>
      <c r="B90" s="75" t="s">
        <v>192</v>
      </c>
      <c r="C90" s="47" t="s">
        <v>165</v>
      </c>
      <c r="D90" s="47" t="s">
        <v>165</v>
      </c>
      <c r="E90" s="77" t="s">
        <v>693</v>
      </c>
      <c r="F90" s="47" t="s">
        <v>233</v>
      </c>
      <c r="G90" t="s">
        <v>260</v>
      </c>
      <c r="H90" t="s">
        <v>164</v>
      </c>
      <c r="I90" t="s">
        <v>694</v>
      </c>
      <c r="J90" s="47" t="s">
        <v>165</v>
      </c>
      <c r="K90" t="s">
        <v>695</v>
      </c>
      <c r="L90" s="63" t="s">
        <v>255</v>
      </c>
      <c r="M90">
        <v>1614</v>
      </c>
      <c r="N90">
        <v>1355</v>
      </c>
      <c r="O90">
        <v>34</v>
      </c>
      <c r="P90">
        <v>34</v>
      </c>
      <c r="Q90">
        <v>0</v>
      </c>
      <c r="R90">
        <v>0</v>
      </c>
      <c r="S90">
        <v>1682</v>
      </c>
      <c r="T90" t="s">
        <v>256</v>
      </c>
      <c r="U90" t="s">
        <v>182</v>
      </c>
      <c r="V90" t="s">
        <v>696</v>
      </c>
      <c r="W90" t="s">
        <v>697</v>
      </c>
      <c r="X90" s="73" t="str">
        <f t="shared" si="2"/>
        <v>Open CSV</v>
      </c>
      <c r="Y90" s="73" t="str">
        <f t="shared" si="3"/>
        <v>Open PDF</v>
      </c>
      <c r="Z90" t="s">
        <v>182</v>
      </c>
    </row>
    <row r="91" spans="1:26">
      <c r="A91" t="s">
        <v>249</v>
      </c>
      <c r="B91" s="75" t="s">
        <v>192</v>
      </c>
      <c r="C91" s="47" t="s">
        <v>165</v>
      </c>
      <c r="D91" s="47" t="s">
        <v>165</v>
      </c>
      <c r="E91" s="77" t="s">
        <v>698</v>
      </c>
      <c r="F91" s="47" t="s">
        <v>699</v>
      </c>
      <c r="G91" t="s">
        <v>252</v>
      </c>
      <c r="H91" t="s">
        <v>164</v>
      </c>
      <c r="I91" t="s">
        <v>509</v>
      </c>
      <c r="J91" s="47" t="s">
        <v>165</v>
      </c>
      <c r="K91" t="s">
        <v>700</v>
      </c>
      <c r="L91" s="63" t="s">
        <v>255</v>
      </c>
      <c r="M91">
        <v>2141</v>
      </c>
      <c r="N91">
        <v>1603</v>
      </c>
      <c r="O91">
        <v>0</v>
      </c>
      <c r="P91">
        <v>0</v>
      </c>
      <c r="Q91">
        <v>80</v>
      </c>
      <c r="R91">
        <v>0</v>
      </c>
      <c r="S91">
        <v>2221</v>
      </c>
      <c r="T91" t="s">
        <v>256</v>
      </c>
      <c r="U91" t="s">
        <v>182</v>
      </c>
      <c r="V91" t="s">
        <v>701</v>
      </c>
      <c r="W91" t="s">
        <v>702</v>
      </c>
      <c r="X91" s="73" t="str">
        <f t="shared" si="2"/>
        <v>Open CSV</v>
      </c>
      <c r="Y91" s="73" t="str">
        <f t="shared" si="3"/>
        <v>Open PDF</v>
      </c>
      <c r="Z91" t="s">
        <v>182</v>
      </c>
    </row>
    <row r="92" spans="1:26">
      <c r="A92" t="s">
        <v>249</v>
      </c>
      <c r="B92" s="75" t="s">
        <v>192</v>
      </c>
      <c r="C92" s="47" t="s">
        <v>165</v>
      </c>
      <c r="D92" s="47" t="s">
        <v>165</v>
      </c>
      <c r="E92" s="77" t="s">
        <v>703</v>
      </c>
      <c r="F92" s="47" t="s">
        <v>416</v>
      </c>
      <c r="G92" t="s">
        <v>260</v>
      </c>
      <c r="H92" t="s">
        <v>164</v>
      </c>
      <c r="I92" t="s">
        <v>519</v>
      </c>
      <c r="J92" s="47" t="s">
        <v>165</v>
      </c>
      <c r="K92" t="s">
        <v>704</v>
      </c>
      <c r="L92" s="63" t="s">
        <v>255</v>
      </c>
      <c r="M92">
        <v>1748</v>
      </c>
      <c r="N92">
        <v>1489</v>
      </c>
      <c r="O92">
        <v>37</v>
      </c>
      <c r="P92">
        <v>37</v>
      </c>
      <c r="Q92">
        <v>0</v>
      </c>
      <c r="R92">
        <v>0</v>
      </c>
      <c r="S92">
        <v>1822</v>
      </c>
      <c r="T92" t="s">
        <v>256</v>
      </c>
      <c r="U92" t="s">
        <v>182</v>
      </c>
      <c r="V92" t="s">
        <v>705</v>
      </c>
      <c r="W92" t="s">
        <v>706</v>
      </c>
      <c r="X92" s="73" t="str">
        <f t="shared" si="2"/>
        <v>Open CSV</v>
      </c>
      <c r="Y92" s="73" t="str">
        <f t="shared" si="3"/>
        <v>Open PDF</v>
      </c>
      <c r="Z92" t="s">
        <v>182</v>
      </c>
    </row>
    <row r="93" spans="1:26">
      <c r="A93" t="s">
        <v>249</v>
      </c>
      <c r="B93" s="75" t="s">
        <v>192</v>
      </c>
      <c r="C93" s="47" t="s">
        <v>165</v>
      </c>
      <c r="D93" s="47" t="s">
        <v>165</v>
      </c>
      <c r="E93" s="77" t="s">
        <v>715</v>
      </c>
      <c r="F93" s="47" t="s">
        <v>306</v>
      </c>
      <c r="G93" t="s">
        <v>260</v>
      </c>
      <c r="H93" t="s">
        <v>164</v>
      </c>
      <c r="I93" t="s">
        <v>307</v>
      </c>
      <c r="J93" s="47" t="s">
        <v>165</v>
      </c>
      <c r="K93" t="s">
        <v>716</v>
      </c>
      <c r="L93" s="63" t="s">
        <v>255</v>
      </c>
      <c r="M93">
        <v>1940</v>
      </c>
      <c r="N93">
        <v>1681</v>
      </c>
      <c r="O93">
        <v>42</v>
      </c>
      <c r="P93">
        <v>42</v>
      </c>
      <c r="Q93" s="51">
        <v>0</v>
      </c>
      <c r="R93">
        <v>0</v>
      </c>
      <c r="S93">
        <v>2024</v>
      </c>
      <c r="T93" t="s">
        <v>256</v>
      </c>
      <c r="U93" t="s">
        <v>182</v>
      </c>
      <c r="V93" t="s">
        <v>717</v>
      </c>
      <c r="W93" t="s">
        <v>718</v>
      </c>
      <c r="X93" s="73" t="str">
        <f t="shared" si="2"/>
        <v>Open CSV</v>
      </c>
      <c r="Y93" s="73" t="str">
        <f t="shared" si="3"/>
        <v>Open PDF</v>
      </c>
      <c r="Z93" t="s">
        <v>182</v>
      </c>
    </row>
    <row r="94" spans="1:26">
      <c r="A94" t="s">
        <v>249</v>
      </c>
      <c r="B94" s="75" t="s">
        <v>192</v>
      </c>
      <c r="C94" s="47" t="s">
        <v>165</v>
      </c>
      <c r="D94" s="47" t="s">
        <v>165</v>
      </c>
      <c r="E94" s="77" t="s">
        <v>719</v>
      </c>
      <c r="F94" s="47" t="s">
        <v>445</v>
      </c>
      <c r="G94" t="s">
        <v>260</v>
      </c>
      <c r="H94" t="s">
        <v>164</v>
      </c>
      <c r="I94" t="s">
        <v>496</v>
      </c>
      <c r="J94" s="47" t="s">
        <v>165</v>
      </c>
      <c r="K94" t="s">
        <v>720</v>
      </c>
      <c r="L94" s="63" t="s">
        <v>255</v>
      </c>
      <c r="M94">
        <v>2390</v>
      </c>
      <c r="N94">
        <v>1800</v>
      </c>
      <c r="O94">
        <v>46</v>
      </c>
      <c r="P94">
        <v>46</v>
      </c>
      <c r="Q94">
        <v>0</v>
      </c>
      <c r="R94">
        <v>0</v>
      </c>
      <c r="S94">
        <v>2482</v>
      </c>
      <c r="T94" t="s">
        <v>256</v>
      </c>
      <c r="U94" t="s">
        <v>182</v>
      </c>
      <c r="V94" t="s">
        <v>721</v>
      </c>
      <c r="W94" t="s">
        <v>722</v>
      </c>
      <c r="X94" s="73" t="str">
        <f t="shared" si="2"/>
        <v>Open CSV</v>
      </c>
      <c r="Y94" s="73" t="str">
        <f t="shared" si="3"/>
        <v>Open PDF</v>
      </c>
      <c r="Z94" t="s">
        <v>182</v>
      </c>
    </row>
    <row r="95" spans="1:26">
      <c r="A95" t="s">
        <v>249</v>
      </c>
      <c r="B95" s="75" t="s">
        <v>479</v>
      </c>
      <c r="C95" s="47" t="s">
        <v>719</v>
      </c>
      <c r="D95" s="47" t="s">
        <v>445</v>
      </c>
      <c r="E95" s="77" t="s">
        <v>723</v>
      </c>
      <c r="F95" s="47" t="s">
        <v>501</v>
      </c>
      <c r="G95" t="s">
        <v>260</v>
      </c>
      <c r="H95" t="s">
        <v>164</v>
      </c>
      <c r="I95" t="s">
        <v>496</v>
      </c>
      <c r="J95" s="47" t="s">
        <v>165</v>
      </c>
      <c r="K95" t="s">
        <v>720</v>
      </c>
      <c r="L95" s="63" t="s">
        <v>255</v>
      </c>
      <c r="M95">
        <v>2390</v>
      </c>
      <c r="N95">
        <v>1800</v>
      </c>
      <c r="O95">
        <v>46</v>
      </c>
      <c r="P95">
        <v>46</v>
      </c>
      <c r="Q95">
        <v>0</v>
      </c>
      <c r="R95">
        <v>0</v>
      </c>
      <c r="S95">
        <v>2482</v>
      </c>
      <c r="T95" t="s">
        <v>256</v>
      </c>
      <c r="U95" t="s">
        <v>182</v>
      </c>
      <c r="V95" t="s">
        <v>724</v>
      </c>
      <c r="W95" t="s">
        <v>725</v>
      </c>
      <c r="X95" s="73" t="str">
        <f t="shared" si="2"/>
        <v>Open CSV</v>
      </c>
      <c r="Y95" s="73" t="str">
        <f t="shared" si="3"/>
        <v>Open PDF</v>
      </c>
      <c r="Z95" t="s">
        <v>182</v>
      </c>
    </row>
    <row r="96" spans="1:26">
      <c r="A96" t="s">
        <v>249</v>
      </c>
      <c r="B96" s="75" t="s">
        <v>192</v>
      </c>
      <c r="C96" s="47" t="s">
        <v>165</v>
      </c>
      <c r="D96" s="47" t="s">
        <v>165</v>
      </c>
      <c r="E96" s="77" t="s">
        <v>726</v>
      </c>
      <c r="F96" s="47" t="s">
        <v>543</v>
      </c>
      <c r="G96" t="s">
        <v>260</v>
      </c>
      <c r="H96" t="s">
        <v>164</v>
      </c>
      <c r="I96" t="s">
        <v>544</v>
      </c>
      <c r="J96" s="47" t="s">
        <v>165</v>
      </c>
      <c r="K96" t="s">
        <v>727</v>
      </c>
      <c r="L96" s="63" t="s">
        <v>255</v>
      </c>
      <c r="M96">
        <v>3037</v>
      </c>
      <c r="N96">
        <v>2778</v>
      </c>
      <c r="O96">
        <v>69</v>
      </c>
      <c r="P96">
        <v>69</v>
      </c>
      <c r="Q96">
        <v>0</v>
      </c>
      <c r="R96">
        <v>0</v>
      </c>
      <c r="S96">
        <v>3175</v>
      </c>
      <c r="T96" t="s">
        <v>256</v>
      </c>
      <c r="U96" t="s">
        <v>182</v>
      </c>
      <c r="V96" t="s">
        <v>728</v>
      </c>
      <c r="W96" t="s">
        <v>729</v>
      </c>
      <c r="X96" s="73" t="str">
        <f t="shared" si="2"/>
        <v>Open CSV</v>
      </c>
      <c r="Y96" s="73" t="str">
        <f t="shared" si="3"/>
        <v>Open PDF</v>
      </c>
      <c r="Z96" t="s">
        <v>182</v>
      </c>
    </row>
    <row r="97" spans="1:26">
      <c r="A97" t="s">
        <v>249</v>
      </c>
      <c r="B97" s="75" t="s">
        <v>192</v>
      </c>
      <c r="C97" s="47" t="s">
        <v>165</v>
      </c>
      <c r="D97" s="47" t="s">
        <v>165</v>
      </c>
      <c r="E97" s="77" t="s">
        <v>741</v>
      </c>
      <c r="F97" s="47" t="s">
        <v>445</v>
      </c>
      <c r="G97" t="s">
        <v>260</v>
      </c>
      <c r="H97" t="s">
        <v>164</v>
      </c>
      <c r="I97" t="s">
        <v>446</v>
      </c>
      <c r="J97" s="47" t="s">
        <v>165</v>
      </c>
      <c r="K97" t="s">
        <v>742</v>
      </c>
      <c r="L97" s="63" t="s">
        <v>255</v>
      </c>
      <c r="M97">
        <v>2390</v>
      </c>
      <c r="N97">
        <v>1800</v>
      </c>
      <c r="O97">
        <v>46</v>
      </c>
      <c r="P97">
        <v>46</v>
      </c>
      <c r="Q97">
        <v>0</v>
      </c>
      <c r="R97">
        <v>0</v>
      </c>
      <c r="S97">
        <v>2482</v>
      </c>
      <c r="T97" t="s">
        <v>256</v>
      </c>
      <c r="U97" t="s">
        <v>182</v>
      </c>
      <c r="V97" t="s">
        <v>743</v>
      </c>
      <c r="W97" t="s">
        <v>744</v>
      </c>
      <c r="X97" s="73" t="str">
        <f t="shared" si="2"/>
        <v>Open CSV</v>
      </c>
      <c r="Y97" s="73" t="str">
        <f t="shared" si="3"/>
        <v>Open PDF</v>
      </c>
      <c r="Z97" t="s">
        <v>182</v>
      </c>
    </row>
    <row r="98" spans="1:26">
      <c r="A98" t="s">
        <v>249</v>
      </c>
      <c r="B98" s="75" t="s">
        <v>479</v>
      </c>
      <c r="C98" s="47" t="s">
        <v>741</v>
      </c>
      <c r="D98" s="47" t="s">
        <v>445</v>
      </c>
      <c r="E98" s="77" t="s">
        <v>745</v>
      </c>
      <c r="F98" s="47" t="s">
        <v>501</v>
      </c>
      <c r="G98" t="s">
        <v>260</v>
      </c>
      <c r="H98" t="s">
        <v>164</v>
      </c>
      <c r="I98" t="s">
        <v>446</v>
      </c>
      <c r="J98" s="47" t="s">
        <v>165</v>
      </c>
      <c r="K98" t="s">
        <v>742</v>
      </c>
      <c r="L98" s="63" t="s">
        <v>255</v>
      </c>
      <c r="M98">
        <v>2390</v>
      </c>
      <c r="N98">
        <v>1800</v>
      </c>
      <c r="O98">
        <v>46</v>
      </c>
      <c r="P98">
        <v>46</v>
      </c>
      <c r="Q98">
        <v>0</v>
      </c>
      <c r="R98">
        <v>0</v>
      </c>
      <c r="S98">
        <v>2482</v>
      </c>
      <c r="T98" t="s">
        <v>256</v>
      </c>
      <c r="U98" t="s">
        <v>182</v>
      </c>
      <c r="V98" t="s">
        <v>746</v>
      </c>
      <c r="W98" t="s">
        <v>747</v>
      </c>
      <c r="X98" s="73" t="str">
        <f t="shared" si="2"/>
        <v>Open CSV</v>
      </c>
      <c r="Y98" s="73" t="str">
        <f t="shared" si="3"/>
        <v>Open PDF</v>
      </c>
      <c r="Z98" t="s">
        <v>182</v>
      </c>
    </row>
    <row r="99" spans="1:26">
      <c r="A99" t="s">
        <v>249</v>
      </c>
      <c r="B99" s="75" t="s">
        <v>192</v>
      </c>
      <c r="C99" s="47" t="s">
        <v>165</v>
      </c>
      <c r="D99" s="47" t="s">
        <v>165</v>
      </c>
      <c r="E99" s="77" t="s">
        <v>748</v>
      </c>
      <c r="F99" s="47" t="s">
        <v>336</v>
      </c>
      <c r="G99" t="s">
        <v>252</v>
      </c>
      <c r="H99" t="s">
        <v>164</v>
      </c>
      <c r="I99" t="s">
        <v>675</v>
      </c>
      <c r="J99" s="47" t="s">
        <v>165</v>
      </c>
      <c r="K99" t="s">
        <v>749</v>
      </c>
      <c r="L99" s="63" t="s">
        <v>255</v>
      </c>
      <c r="M99">
        <v>1891</v>
      </c>
      <c r="N99">
        <v>1353</v>
      </c>
      <c r="O99" s="51">
        <v>0</v>
      </c>
      <c r="P99" s="51">
        <v>0</v>
      </c>
      <c r="Q99">
        <v>68</v>
      </c>
      <c r="R99">
        <v>0</v>
      </c>
      <c r="S99">
        <v>1959</v>
      </c>
      <c r="T99" t="s">
        <v>256</v>
      </c>
      <c r="U99" t="s">
        <v>182</v>
      </c>
      <c r="V99" t="s">
        <v>750</v>
      </c>
      <c r="W99" t="s">
        <v>751</v>
      </c>
      <c r="X99" s="73" t="str">
        <f t="shared" si="2"/>
        <v>Open CSV</v>
      </c>
      <c r="Y99" s="73" t="str">
        <f t="shared" si="3"/>
        <v>Open PDF</v>
      </c>
      <c r="Z99" t="s">
        <v>182</v>
      </c>
    </row>
    <row r="100" spans="1:26">
      <c r="A100" t="s">
        <v>249</v>
      </c>
      <c r="B100" s="75" t="s">
        <v>192</v>
      </c>
      <c r="C100" s="47" t="s">
        <v>165</v>
      </c>
      <c r="D100" s="47" t="s">
        <v>165</v>
      </c>
      <c r="E100" s="77" t="s">
        <v>752</v>
      </c>
      <c r="F100" s="47" t="s">
        <v>306</v>
      </c>
      <c r="G100" t="s">
        <v>260</v>
      </c>
      <c r="H100" t="s">
        <v>164</v>
      </c>
      <c r="I100" t="s">
        <v>307</v>
      </c>
      <c r="J100" s="47" t="s">
        <v>165</v>
      </c>
      <c r="K100" t="s">
        <v>753</v>
      </c>
      <c r="L100" s="63" t="s">
        <v>255</v>
      </c>
      <c r="M100">
        <v>1735</v>
      </c>
      <c r="N100">
        <v>1476</v>
      </c>
      <c r="O100">
        <v>37</v>
      </c>
      <c r="P100">
        <v>37</v>
      </c>
      <c r="Q100">
        <v>0</v>
      </c>
      <c r="R100">
        <v>0</v>
      </c>
      <c r="S100">
        <v>1809</v>
      </c>
      <c r="T100" t="s">
        <v>256</v>
      </c>
      <c r="U100" t="s">
        <v>182</v>
      </c>
      <c r="V100" t="s">
        <v>754</v>
      </c>
      <c r="W100" t="s">
        <v>755</v>
      </c>
      <c r="X100" s="73" t="str">
        <f t="shared" si="2"/>
        <v>Open CSV</v>
      </c>
      <c r="Y100" s="73" t="str">
        <f t="shared" si="3"/>
        <v>Open PDF</v>
      </c>
      <c r="Z100" t="s">
        <v>182</v>
      </c>
    </row>
    <row r="101" spans="1:26">
      <c r="A101" t="s">
        <v>249</v>
      </c>
      <c r="B101" s="75" t="s">
        <v>192</v>
      </c>
      <c r="C101" s="47" t="s">
        <v>165</v>
      </c>
      <c r="D101" s="47" t="s">
        <v>165</v>
      </c>
      <c r="E101" s="77" t="s">
        <v>756</v>
      </c>
      <c r="F101" s="47" t="s">
        <v>674</v>
      </c>
      <c r="G101" t="s">
        <v>260</v>
      </c>
      <c r="H101" t="s">
        <v>164</v>
      </c>
      <c r="I101" t="s">
        <v>675</v>
      </c>
      <c r="J101" s="47" t="s">
        <v>165</v>
      </c>
      <c r="K101" t="s">
        <v>757</v>
      </c>
      <c r="L101" s="63" t="s">
        <v>255</v>
      </c>
      <c r="M101">
        <v>1791</v>
      </c>
      <c r="N101">
        <v>1532</v>
      </c>
      <c r="O101">
        <v>38</v>
      </c>
      <c r="P101">
        <v>38</v>
      </c>
      <c r="Q101">
        <v>0</v>
      </c>
      <c r="R101">
        <v>0</v>
      </c>
      <c r="S101">
        <v>1867</v>
      </c>
      <c r="T101" t="s">
        <v>256</v>
      </c>
      <c r="U101" t="s">
        <v>182</v>
      </c>
      <c r="V101" t="s">
        <v>758</v>
      </c>
      <c r="W101" t="s">
        <v>759</v>
      </c>
      <c r="X101" s="73" t="str">
        <f t="shared" si="2"/>
        <v>Open CSV</v>
      </c>
      <c r="Y101" s="73" t="str">
        <f t="shared" si="3"/>
        <v>Open PDF</v>
      </c>
      <c r="Z101" t="s">
        <v>182</v>
      </c>
    </row>
    <row r="102" spans="1:26">
      <c r="A102" t="s">
        <v>249</v>
      </c>
      <c r="B102" s="75" t="s">
        <v>192</v>
      </c>
      <c r="C102" s="47" t="s">
        <v>165</v>
      </c>
      <c r="D102" s="47" t="s">
        <v>165</v>
      </c>
      <c r="E102" s="77" t="s">
        <v>760</v>
      </c>
      <c r="F102" s="47" t="s">
        <v>460</v>
      </c>
      <c r="G102" t="s">
        <v>260</v>
      </c>
      <c r="H102" t="s">
        <v>164</v>
      </c>
      <c r="I102" t="s">
        <v>761</v>
      </c>
      <c r="J102" s="47" t="s">
        <v>165</v>
      </c>
      <c r="K102" t="s">
        <v>762</v>
      </c>
      <c r="L102" s="63" t="s">
        <v>255</v>
      </c>
      <c r="M102">
        <v>3599</v>
      </c>
      <c r="N102">
        <v>3340</v>
      </c>
      <c r="O102">
        <v>83</v>
      </c>
      <c r="P102">
        <v>83</v>
      </c>
      <c r="Q102">
        <v>0</v>
      </c>
      <c r="R102">
        <v>0</v>
      </c>
      <c r="S102">
        <v>3765</v>
      </c>
      <c r="T102" t="s">
        <v>256</v>
      </c>
      <c r="U102" t="s">
        <v>182</v>
      </c>
      <c r="V102" t="s">
        <v>763</v>
      </c>
      <c r="W102" t="s">
        <v>764</v>
      </c>
      <c r="X102" s="73" t="str">
        <f t="shared" si="2"/>
        <v>Open CSV</v>
      </c>
      <c r="Y102" s="73" t="str">
        <f t="shared" si="3"/>
        <v>Open PDF</v>
      </c>
      <c r="Z102" t="s">
        <v>182</v>
      </c>
    </row>
    <row r="103" spans="1:26">
      <c r="A103" t="s">
        <v>249</v>
      </c>
      <c r="B103" s="75" t="s">
        <v>192</v>
      </c>
      <c r="C103" s="47" t="s">
        <v>165</v>
      </c>
      <c r="D103" s="47" t="s">
        <v>165</v>
      </c>
      <c r="E103" s="77" t="s">
        <v>765</v>
      </c>
      <c r="F103" s="47" t="s">
        <v>460</v>
      </c>
      <c r="G103" t="s">
        <v>260</v>
      </c>
      <c r="H103" t="s">
        <v>164</v>
      </c>
      <c r="I103" t="s">
        <v>761</v>
      </c>
      <c r="J103" s="47" t="s">
        <v>165</v>
      </c>
      <c r="K103" t="s">
        <v>762</v>
      </c>
      <c r="L103" s="63" t="s">
        <v>255</v>
      </c>
      <c r="M103">
        <v>2091</v>
      </c>
      <c r="N103">
        <v>1823</v>
      </c>
      <c r="O103">
        <v>45</v>
      </c>
      <c r="P103">
        <v>45</v>
      </c>
      <c r="Q103">
        <v>0</v>
      </c>
      <c r="R103">
        <v>0</v>
      </c>
      <c r="S103">
        <v>2181</v>
      </c>
      <c r="T103" t="s">
        <v>256</v>
      </c>
      <c r="U103" t="s">
        <v>182</v>
      </c>
      <c r="V103" t="s">
        <v>766</v>
      </c>
      <c r="W103" t="s">
        <v>767</v>
      </c>
      <c r="X103" s="73" t="str">
        <f t="shared" si="2"/>
        <v>Open CSV</v>
      </c>
      <c r="Y103" s="73" t="str">
        <f t="shared" si="3"/>
        <v>Open PDF</v>
      </c>
      <c r="Z103" t="s">
        <v>182</v>
      </c>
    </row>
    <row r="104" spans="1:26">
      <c r="A104" t="s">
        <v>249</v>
      </c>
      <c r="B104" s="75" t="s">
        <v>192</v>
      </c>
      <c r="C104" s="47" t="s">
        <v>165</v>
      </c>
      <c r="D104" s="47" t="s">
        <v>165</v>
      </c>
      <c r="E104" s="77" t="s">
        <v>768</v>
      </c>
      <c r="F104" s="47" t="s">
        <v>233</v>
      </c>
      <c r="G104" t="s">
        <v>252</v>
      </c>
      <c r="H104" t="s">
        <v>164</v>
      </c>
      <c r="I104" t="s">
        <v>694</v>
      </c>
      <c r="J104" s="47" t="s">
        <v>165</v>
      </c>
      <c r="K104" t="s">
        <v>769</v>
      </c>
      <c r="L104" s="63" t="s">
        <v>255</v>
      </c>
      <c r="M104">
        <v>1905</v>
      </c>
      <c r="N104">
        <v>1564</v>
      </c>
      <c r="O104" s="51">
        <v>0</v>
      </c>
      <c r="P104" s="51">
        <v>0</v>
      </c>
      <c r="Q104">
        <v>78</v>
      </c>
      <c r="R104">
        <v>0</v>
      </c>
      <c r="S104">
        <v>1983</v>
      </c>
      <c r="T104" t="s">
        <v>256</v>
      </c>
      <c r="U104" t="s">
        <v>182</v>
      </c>
      <c r="V104" t="s">
        <v>770</v>
      </c>
      <c r="W104" t="s">
        <v>771</v>
      </c>
      <c r="X104" s="73" t="str">
        <f t="shared" si="2"/>
        <v>Open CSV</v>
      </c>
      <c r="Y104" s="73" t="str">
        <f t="shared" si="3"/>
        <v>Open PDF</v>
      </c>
      <c r="Z104" t="s">
        <v>182</v>
      </c>
    </row>
    <row r="105" spans="1:26">
      <c r="A105" t="s">
        <v>249</v>
      </c>
      <c r="B105" s="75" t="s">
        <v>192</v>
      </c>
      <c r="C105" s="47" t="s">
        <v>165</v>
      </c>
      <c r="D105" s="47" t="s">
        <v>165</v>
      </c>
      <c r="E105" s="77" t="s">
        <v>772</v>
      </c>
      <c r="F105" s="47" t="s">
        <v>330</v>
      </c>
      <c r="G105" t="s">
        <v>260</v>
      </c>
      <c r="H105" t="s">
        <v>164</v>
      </c>
      <c r="I105" t="s">
        <v>331</v>
      </c>
      <c r="J105" s="47" t="s">
        <v>165</v>
      </c>
      <c r="K105" t="s">
        <v>773</v>
      </c>
      <c r="L105" s="63" t="s">
        <v>255</v>
      </c>
      <c r="M105">
        <v>1614</v>
      </c>
      <c r="N105">
        <v>1355</v>
      </c>
      <c r="O105">
        <v>34</v>
      </c>
      <c r="P105">
        <v>34</v>
      </c>
      <c r="Q105">
        <v>0</v>
      </c>
      <c r="R105">
        <v>0</v>
      </c>
      <c r="S105">
        <v>1682</v>
      </c>
      <c r="T105" t="s">
        <v>256</v>
      </c>
      <c r="U105" t="s">
        <v>182</v>
      </c>
      <c r="V105" t="s">
        <v>774</v>
      </c>
      <c r="W105" t="s">
        <v>775</v>
      </c>
      <c r="X105" s="73" t="str">
        <f t="shared" si="2"/>
        <v>Open CSV</v>
      </c>
      <c r="Y105" s="73" t="str">
        <f t="shared" si="3"/>
        <v>Open PDF</v>
      </c>
      <c r="Z105" t="s">
        <v>182</v>
      </c>
    </row>
    <row r="106" spans="1:26">
      <c r="A106" t="s">
        <v>249</v>
      </c>
      <c r="B106" s="75" t="s">
        <v>192</v>
      </c>
      <c r="C106" s="47" t="s">
        <v>165</v>
      </c>
      <c r="D106" s="47" t="s">
        <v>165</v>
      </c>
      <c r="E106" s="77" t="s">
        <v>776</v>
      </c>
      <c r="F106" s="47" t="s">
        <v>460</v>
      </c>
      <c r="G106" t="s">
        <v>260</v>
      </c>
      <c r="H106" t="s">
        <v>164</v>
      </c>
      <c r="I106" t="s">
        <v>265</v>
      </c>
      <c r="J106" s="47" t="s">
        <v>165</v>
      </c>
      <c r="K106" t="s">
        <v>777</v>
      </c>
      <c r="L106" s="63" t="s">
        <v>255</v>
      </c>
      <c r="M106">
        <v>4176</v>
      </c>
      <c r="N106">
        <v>3917</v>
      </c>
      <c r="O106">
        <v>98</v>
      </c>
      <c r="P106">
        <v>98</v>
      </c>
      <c r="Q106">
        <v>0</v>
      </c>
      <c r="R106">
        <v>0</v>
      </c>
      <c r="S106">
        <v>4372</v>
      </c>
      <c r="T106" t="s">
        <v>256</v>
      </c>
      <c r="U106" t="s">
        <v>182</v>
      </c>
      <c r="V106" t="s">
        <v>778</v>
      </c>
      <c r="W106" t="s">
        <v>779</v>
      </c>
      <c r="X106" s="73" t="str">
        <f t="shared" si="2"/>
        <v>Open CSV</v>
      </c>
      <c r="Y106" s="73" t="str">
        <f t="shared" si="3"/>
        <v>Open PDF</v>
      </c>
      <c r="Z106" t="s">
        <v>182</v>
      </c>
    </row>
    <row r="107" spans="1:26">
      <c r="A107" t="s">
        <v>249</v>
      </c>
      <c r="B107" s="75" t="s">
        <v>192</v>
      </c>
      <c r="C107" s="47" t="s">
        <v>165</v>
      </c>
      <c r="D107" s="47" t="s">
        <v>165</v>
      </c>
      <c r="E107" s="77" t="s">
        <v>780</v>
      </c>
      <c r="F107" s="47" t="s">
        <v>460</v>
      </c>
      <c r="G107" t="s">
        <v>260</v>
      </c>
      <c r="H107" t="s">
        <v>164</v>
      </c>
      <c r="I107" t="s">
        <v>265</v>
      </c>
      <c r="J107" s="47" t="s">
        <v>165</v>
      </c>
      <c r="K107" t="s">
        <v>777</v>
      </c>
      <c r="L107" s="63" t="s">
        <v>255</v>
      </c>
      <c r="M107">
        <v>2128</v>
      </c>
      <c r="N107">
        <v>1860</v>
      </c>
      <c r="O107">
        <v>46</v>
      </c>
      <c r="P107">
        <v>46</v>
      </c>
      <c r="Q107">
        <v>0</v>
      </c>
      <c r="R107">
        <v>0</v>
      </c>
      <c r="S107">
        <v>2220</v>
      </c>
      <c r="T107" t="s">
        <v>256</v>
      </c>
      <c r="U107" t="s">
        <v>182</v>
      </c>
      <c r="V107" t="s">
        <v>781</v>
      </c>
      <c r="W107" t="s">
        <v>782</v>
      </c>
      <c r="X107" s="73" t="str">
        <f t="shared" si="2"/>
        <v>Open CSV</v>
      </c>
      <c r="Y107" s="73" t="str">
        <f t="shared" si="3"/>
        <v>Open PDF</v>
      </c>
      <c r="Z107" t="s">
        <v>182</v>
      </c>
    </row>
    <row r="108" spans="1:26">
      <c r="A108" t="s">
        <v>249</v>
      </c>
      <c r="B108" s="75" t="s">
        <v>192</v>
      </c>
      <c r="C108" s="47" t="s">
        <v>165</v>
      </c>
      <c r="D108" s="47" t="s">
        <v>165</v>
      </c>
      <c r="E108" s="77" t="s">
        <v>783</v>
      </c>
      <c r="F108" s="47" t="s">
        <v>349</v>
      </c>
      <c r="G108" t="s">
        <v>260</v>
      </c>
      <c r="H108" t="s">
        <v>164</v>
      </c>
      <c r="I108" t="s">
        <v>509</v>
      </c>
      <c r="J108" s="47" t="s">
        <v>165</v>
      </c>
      <c r="K108" t="s">
        <v>784</v>
      </c>
      <c r="L108" s="63" t="s">
        <v>255</v>
      </c>
      <c r="M108">
        <v>1638</v>
      </c>
      <c r="N108">
        <v>1380</v>
      </c>
      <c r="O108">
        <v>35</v>
      </c>
      <c r="P108">
        <v>35</v>
      </c>
      <c r="Q108">
        <v>0</v>
      </c>
      <c r="R108">
        <v>0</v>
      </c>
      <c r="S108">
        <v>1708</v>
      </c>
      <c r="T108" t="s">
        <v>256</v>
      </c>
      <c r="U108" t="s">
        <v>182</v>
      </c>
      <c r="V108" t="s">
        <v>785</v>
      </c>
      <c r="W108" s="73" t="s">
        <v>786</v>
      </c>
      <c r="X108" s="73" t="str">
        <f t="shared" si="2"/>
        <v>Open CSV</v>
      </c>
      <c r="Y108" s="73" t="str">
        <f t="shared" si="3"/>
        <v>Open PDF</v>
      </c>
      <c r="Z108" t="s">
        <v>182</v>
      </c>
    </row>
    <row r="109" spans="1:26">
      <c r="A109" t="s">
        <v>249</v>
      </c>
      <c r="B109" s="75" t="s">
        <v>192</v>
      </c>
      <c r="C109" s="47" t="s">
        <v>165</v>
      </c>
      <c r="D109" s="47" t="s">
        <v>165</v>
      </c>
      <c r="E109" s="77" t="s">
        <v>787</v>
      </c>
      <c r="F109" s="47" t="s">
        <v>460</v>
      </c>
      <c r="G109" t="s">
        <v>260</v>
      </c>
      <c r="H109" t="s">
        <v>164</v>
      </c>
      <c r="I109" t="s">
        <v>630</v>
      </c>
      <c r="J109" s="48" t="s">
        <v>165</v>
      </c>
      <c r="K109" t="s">
        <v>788</v>
      </c>
      <c r="L109" s="63" t="s">
        <v>255</v>
      </c>
      <c r="M109">
        <v>3249</v>
      </c>
      <c r="N109">
        <v>2990</v>
      </c>
      <c r="O109">
        <v>74</v>
      </c>
      <c r="P109">
        <v>74</v>
      </c>
      <c r="Q109">
        <v>0</v>
      </c>
      <c r="R109">
        <v>0</v>
      </c>
      <c r="S109">
        <v>3397</v>
      </c>
      <c r="T109" t="s">
        <v>256</v>
      </c>
      <c r="U109" t="s">
        <v>182</v>
      </c>
      <c r="V109" t="s">
        <v>789</v>
      </c>
      <c r="W109" t="s">
        <v>790</v>
      </c>
      <c r="X109" s="73" t="str">
        <f t="shared" si="2"/>
        <v>Open CSV</v>
      </c>
      <c r="Y109" s="73" t="str">
        <f t="shared" si="3"/>
        <v>Open PDF</v>
      </c>
      <c r="Z109" t="s">
        <v>182</v>
      </c>
    </row>
    <row r="110" spans="1:26">
      <c r="A110" t="s">
        <v>249</v>
      </c>
      <c r="B110" s="75" t="s">
        <v>192</v>
      </c>
      <c r="C110" s="47" t="s">
        <v>165</v>
      </c>
      <c r="D110" s="47" t="s">
        <v>165</v>
      </c>
      <c r="E110" s="77" t="s">
        <v>791</v>
      </c>
      <c r="F110" s="47" t="s">
        <v>460</v>
      </c>
      <c r="G110" t="s">
        <v>260</v>
      </c>
      <c r="H110" t="s">
        <v>164</v>
      </c>
      <c r="I110" t="s">
        <v>630</v>
      </c>
      <c r="J110" s="47" t="s">
        <v>165</v>
      </c>
      <c r="K110" t="s">
        <v>788</v>
      </c>
      <c r="L110" s="63" t="s">
        <v>255</v>
      </c>
      <c r="M110">
        <v>2138</v>
      </c>
      <c r="N110">
        <v>1870</v>
      </c>
      <c r="O110" s="51">
        <v>46</v>
      </c>
      <c r="P110" s="51">
        <v>46</v>
      </c>
      <c r="Q110">
        <v>0</v>
      </c>
      <c r="R110">
        <v>0</v>
      </c>
      <c r="S110">
        <v>2230</v>
      </c>
      <c r="T110" t="s">
        <v>256</v>
      </c>
      <c r="U110" t="s">
        <v>182</v>
      </c>
      <c r="V110" t="s">
        <v>792</v>
      </c>
      <c r="W110" t="s">
        <v>793</v>
      </c>
      <c r="X110" s="73" t="str">
        <f t="shared" si="2"/>
        <v>Open CSV</v>
      </c>
      <c r="Y110" s="73" t="str">
        <f t="shared" si="3"/>
        <v>Open PDF</v>
      </c>
      <c r="Z110" t="s">
        <v>182</v>
      </c>
    </row>
    <row r="111" spans="1:26">
      <c r="A111" t="s">
        <v>249</v>
      </c>
      <c r="B111" s="75" t="s">
        <v>192</v>
      </c>
      <c r="C111" s="47" t="s">
        <v>165</v>
      </c>
      <c r="D111" s="47" t="s">
        <v>165</v>
      </c>
      <c r="E111" s="77" t="s">
        <v>794</v>
      </c>
      <c r="F111" s="47" t="s">
        <v>795</v>
      </c>
      <c r="G111" t="s">
        <v>260</v>
      </c>
      <c r="H111" t="s">
        <v>164</v>
      </c>
      <c r="I111" t="s">
        <v>509</v>
      </c>
      <c r="J111" s="47" t="s">
        <v>165</v>
      </c>
      <c r="K111" t="s">
        <v>796</v>
      </c>
      <c r="L111" s="63" t="s">
        <v>255</v>
      </c>
      <c r="M111">
        <v>1945</v>
      </c>
      <c r="N111">
        <v>1687</v>
      </c>
      <c r="O111" s="51">
        <v>42</v>
      </c>
      <c r="P111" s="51">
        <v>42</v>
      </c>
      <c r="Q111">
        <v>0</v>
      </c>
      <c r="R111">
        <v>0</v>
      </c>
      <c r="S111">
        <v>2029</v>
      </c>
      <c r="T111" t="s">
        <v>256</v>
      </c>
      <c r="U111" t="s">
        <v>182</v>
      </c>
      <c r="V111" t="s">
        <v>797</v>
      </c>
      <c r="W111" t="s">
        <v>798</v>
      </c>
      <c r="X111" s="73" t="str">
        <f t="shared" si="2"/>
        <v>Open CSV</v>
      </c>
      <c r="Y111" s="73" t="str">
        <f t="shared" si="3"/>
        <v>Open PDF</v>
      </c>
      <c r="Z111" t="s">
        <v>182</v>
      </c>
    </row>
    <row r="112" spans="1:26">
      <c r="A112" t="s">
        <v>249</v>
      </c>
      <c r="B112" s="75" t="s">
        <v>479</v>
      </c>
      <c r="C112" s="47" t="s">
        <v>794</v>
      </c>
      <c r="D112" s="47" t="s">
        <v>795</v>
      </c>
      <c r="E112" s="77" t="s">
        <v>799</v>
      </c>
      <c r="F112" s="47" t="s">
        <v>800</v>
      </c>
      <c r="G112" t="s">
        <v>260</v>
      </c>
      <c r="H112" t="s">
        <v>164</v>
      </c>
      <c r="I112" t="s">
        <v>509</v>
      </c>
      <c r="J112" s="47" t="s">
        <v>165</v>
      </c>
      <c r="K112" t="s">
        <v>796</v>
      </c>
      <c r="L112" s="63" t="s">
        <v>255</v>
      </c>
      <c r="M112">
        <v>1945</v>
      </c>
      <c r="N112">
        <v>1687</v>
      </c>
      <c r="O112" s="51">
        <v>42</v>
      </c>
      <c r="P112" s="51">
        <v>42</v>
      </c>
      <c r="Q112">
        <v>0</v>
      </c>
      <c r="R112">
        <v>0</v>
      </c>
      <c r="S112">
        <v>2029</v>
      </c>
      <c r="T112" t="s">
        <v>256</v>
      </c>
      <c r="U112" t="s">
        <v>182</v>
      </c>
      <c r="V112" t="s">
        <v>801</v>
      </c>
      <c r="W112" t="s">
        <v>802</v>
      </c>
      <c r="X112" s="73" t="str">
        <f t="shared" si="2"/>
        <v>Open CSV</v>
      </c>
      <c r="Y112" s="73" t="str">
        <f t="shared" si="3"/>
        <v>Open PDF</v>
      </c>
      <c r="Z112" t="s">
        <v>182</v>
      </c>
    </row>
    <row r="113" spans="1:26">
      <c r="A113" t="s">
        <v>249</v>
      </c>
      <c r="B113" s="75" t="s">
        <v>192</v>
      </c>
      <c r="C113" s="47" t="s">
        <v>165</v>
      </c>
      <c r="D113" s="47" t="s">
        <v>165</v>
      </c>
      <c r="E113" s="77" t="s">
        <v>803</v>
      </c>
      <c r="F113" s="47" t="s">
        <v>804</v>
      </c>
      <c r="G113" t="s">
        <v>260</v>
      </c>
      <c r="H113" t="s">
        <v>164</v>
      </c>
      <c r="I113" t="s">
        <v>805</v>
      </c>
      <c r="J113" s="47" t="s">
        <v>165</v>
      </c>
      <c r="K113" t="s">
        <v>806</v>
      </c>
      <c r="L113" s="63" t="s">
        <v>255</v>
      </c>
      <c r="M113">
        <v>1639</v>
      </c>
      <c r="N113">
        <v>1380</v>
      </c>
      <c r="O113">
        <v>35</v>
      </c>
      <c r="P113">
        <v>35</v>
      </c>
      <c r="Q113">
        <v>0</v>
      </c>
      <c r="R113">
        <v>0</v>
      </c>
      <c r="S113">
        <v>1709</v>
      </c>
      <c r="T113" t="s">
        <v>256</v>
      </c>
      <c r="U113" t="s">
        <v>182</v>
      </c>
      <c r="V113" t="s">
        <v>807</v>
      </c>
      <c r="W113" t="s">
        <v>808</v>
      </c>
      <c r="X113" s="73" t="str">
        <f t="shared" si="2"/>
        <v>Open CSV</v>
      </c>
      <c r="Y113" s="73" t="str">
        <f t="shared" si="3"/>
        <v>Open PDF</v>
      </c>
      <c r="Z113" t="s">
        <v>182</v>
      </c>
    </row>
    <row r="114" spans="1:26">
      <c r="A114" t="s">
        <v>249</v>
      </c>
      <c r="B114" s="75" t="s">
        <v>192</v>
      </c>
      <c r="C114" s="47" t="s">
        <v>165</v>
      </c>
      <c r="D114" s="47" t="s">
        <v>165</v>
      </c>
      <c r="E114" s="77" t="s">
        <v>809</v>
      </c>
      <c r="F114" s="47" t="s">
        <v>460</v>
      </c>
      <c r="G114" t="s">
        <v>260</v>
      </c>
      <c r="H114" t="s">
        <v>164</v>
      </c>
      <c r="I114" t="s">
        <v>810</v>
      </c>
      <c r="J114" s="47" t="s">
        <v>165</v>
      </c>
      <c r="K114" t="s">
        <v>811</v>
      </c>
      <c r="L114" s="63" t="s">
        <v>255</v>
      </c>
      <c r="M114">
        <v>4176</v>
      </c>
      <c r="N114">
        <v>3917</v>
      </c>
      <c r="O114">
        <v>98</v>
      </c>
      <c r="P114">
        <v>98</v>
      </c>
      <c r="Q114" s="51">
        <v>0</v>
      </c>
      <c r="R114">
        <v>0</v>
      </c>
      <c r="S114">
        <v>4372</v>
      </c>
      <c r="T114" t="s">
        <v>256</v>
      </c>
      <c r="U114" t="s">
        <v>182</v>
      </c>
      <c r="V114" t="s">
        <v>812</v>
      </c>
      <c r="W114" t="s">
        <v>813</v>
      </c>
      <c r="X114" s="73" t="str">
        <f t="shared" si="2"/>
        <v>Open CSV</v>
      </c>
      <c r="Y114" s="73" t="str">
        <f t="shared" si="3"/>
        <v>Open PDF</v>
      </c>
      <c r="Z114" t="s">
        <v>182</v>
      </c>
    </row>
    <row r="115" spans="1:26">
      <c r="A115" t="s">
        <v>249</v>
      </c>
      <c r="B115" s="75" t="s">
        <v>192</v>
      </c>
      <c r="C115" s="47" t="s">
        <v>165</v>
      </c>
      <c r="D115" s="47" t="s">
        <v>165</v>
      </c>
      <c r="E115" s="77" t="s">
        <v>814</v>
      </c>
      <c r="F115" s="47" t="s">
        <v>460</v>
      </c>
      <c r="G115" t="s">
        <v>260</v>
      </c>
      <c r="H115" t="s">
        <v>164</v>
      </c>
      <c r="I115" t="s">
        <v>810</v>
      </c>
      <c r="J115" s="47" t="s">
        <v>165</v>
      </c>
      <c r="K115" t="s">
        <v>811</v>
      </c>
      <c r="L115" s="63" t="s">
        <v>255</v>
      </c>
      <c r="M115">
        <v>2128</v>
      </c>
      <c r="N115">
        <v>1860</v>
      </c>
      <c r="O115">
        <v>46</v>
      </c>
      <c r="P115">
        <v>46</v>
      </c>
      <c r="Q115">
        <v>0</v>
      </c>
      <c r="R115">
        <v>0</v>
      </c>
      <c r="S115">
        <v>2220</v>
      </c>
      <c r="T115" t="s">
        <v>256</v>
      </c>
      <c r="U115" t="s">
        <v>182</v>
      </c>
      <c r="V115" t="s">
        <v>815</v>
      </c>
      <c r="W115" t="s">
        <v>816</v>
      </c>
      <c r="X115" s="73" t="str">
        <f t="shared" si="2"/>
        <v>Open CSV</v>
      </c>
      <c r="Y115" s="73" t="str">
        <f t="shared" si="3"/>
        <v>Open PDF</v>
      </c>
      <c r="Z115" t="s">
        <v>182</v>
      </c>
    </row>
    <row r="116" spans="1:26">
      <c r="A116" t="s">
        <v>249</v>
      </c>
      <c r="B116" s="75" t="s">
        <v>192</v>
      </c>
      <c r="C116" s="47" t="s">
        <v>165</v>
      </c>
      <c r="D116" s="47" t="s">
        <v>165</v>
      </c>
      <c r="E116" s="77" t="s">
        <v>817</v>
      </c>
      <c r="F116" s="47" t="s">
        <v>460</v>
      </c>
      <c r="G116" t="s">
        <v>260</v>
      </c>
      <c r="H116" t="s">
        <v>164</v>
      </c>
      <c r="I116" t="s">
        <v>818</v>
      </c>
      <c r="J116" s="47" t="s">
        <v>165</v>
      </c>
      <c r="K116" t="s">
        <v>819</v>
      </c>
      <c r="L116" s="63" t="s">
        <v>255</v>
      </c>
      <c r="M116">
        <v>3202</v>
      </c>
      <c r="N116">
        <v>2943</v>
      </c>
      <c r="O116">
        <v>73</v>
      </c>
      <c r="P116">
        <v>73</v>
      </c>
      <c r="Q116">
        <v>0</v>
      </c>
      <c r="R116">
        <v>0</v>
      </c>
      <c r="S116">
        <v>3348</v>
      </c>
      <c r="T116" t="s">
        <v>256</v>
      </c>
      <c r="U116" t="s">
        <v>182</v>
      </c>
      <c r="V116" t="s">
        <v>820</v>
      </c>
      <c r="W116" t="s">
        <v>821</v>
      </c>
      <c r="X116" s="73" t="str">
        <f t="shared" si="2"/>
        <v>Open CSV</v>
      </c>
      <c r="Y116" s="73" t="str">
        <f t="shared" si="3"/>
        <v>Open PDF</v>
      </c>
      <c r="Z116" t="s">
        <v>182</v>
      </c>
    </row>
    <row r="117" spans="1:26">
      <c r="A117" t="s">
        <v>249</v>
      </c>
      <c r="B117" s="75" t="s">
        <v>192</v>
      </c>
      <c r="C117" s="47" t="s">
        <v>165</v>
      </c>
      <c r="D117" s="47" t="s">
        <v>165</v>
      </c>
      <c r="E117" s="77" t="s">
        <v>822</v>
      </c>
      <c r="F117" s="47" t="s">
        <v>460</v>
      </c>
      <c r="G117" t="s">
        <v>260</v>
      </c>
      <c r="H117" t="s">
        <v>164</v>
      </c>
      <c r="I117" t="s">
        <v>818</v>
      </c>
      <c r="J117" s="47" t="s">
        <v>165</v>
      </c>
      <c r="K117" t="s">
        <v>819</v>
      </c>
      <c r="L117" s="63" t="s">
        <v>255</v>
      </c>
      <c r="M117">
        <v>1871</v>
      </c>
      <c r="N117">
        <v>1603</v>
      </c>
      <c r="O117">
        <v>40</v>
      </c>
      <c r="P117">
        <v>40</v>
      </c>
      <c r="Q117">
        <v>0</v>
      </c>
      <c r="R117">
        <v>0</v>
      </c>
      <c r="S117">
        <v>1951</v>
      </c>
      <c r="T117" t="s">
        <v>256</v>
      </c>
      <c r="U117" t="s">
        <v>182</v>
      </c>
      <c r="V117" t="s">
        <v>823</v>
      </c>
      <c r="W117" t="s">
        <v>824</v>
      </c>
      <c r="X117" s="73" t="str">
        <f t="shared" si="2"/>
        <v>Open CSV</v>
      </c>
      <c r="Y117" s="73" t="str">
        <f t="shared" si="3"/>
        <v>Open PDF</v>
      </c>
      <c r="Z117" t="s">
        <v>182</v>
      </c>
    </row>
    <row r="118" spans="1:26">
      <c r="A118" t="s">
        <v>249</v>
      </c>
      <c r="B118" s="75" t="s">
        <v>192</v>
      </c>
      <c r="C118" s="47" t="s">
        <v>165</v>
      </c>
      <c r="D118" s="47" t="s">
        <v>165</v>
      </c>
      <c r="E118" s="77" t="s">
        <v>825</v>
      </c>
      <c r="F118" s="47" t="s">
        <v>460</v>
      </c>
      <c r="G118" t="s">
        <v>260</v>
      </c>
      <c r="H118" t="s">
        <v>164</v>
      </c>
      <c r="I118" t="s">
        <v>826</v>
      </c>
      <c r="J118" s="47" t="s">
        <v>165</v>
      </c>
      <c r="K118" t="s">
        <v>827</v>
      </c>
      <c r="L118" s="63" t="s">
        <v>255</v>
      </c>
      <c r="M118">
        <v>3202</v>
      </c>
      <c r="N118">
        <v>2943</v>
      </c>
      <c r="O118">
        <v>73</v>
      </c>
      <c r="P118">
        <v>73</v>
      </c>
      <c r="Q118">
        <v>0</v>
      </c>
      <c r="R118">
        <v>0</v>
      </c>
      <c r="S118">
        <v>3348</v>
      </c>
      <c r="T118" t="s">
        <v>256</v>
      </c>
      <c r="U118" t="s">
        <v>182</v>
      </c>
      <c r="V118" t="s">
        <v>828</v>
      </c>
      <c r="W118" t="s">
        <v>829</v>
      </c>
      <c r="X118" s="73" t="str">
        <f t="shared" si="2"/>
        <v>Open CSV</v>
      </c>
      <c r="Y118" s="73" t="str">
        <f t="shared" si="3"/>
        <v>Open PDF</v>
      </c>
      <c r="Z118" t="s">
        <v>182</v>
      </c>
    </row>
    <row r="119" spans="1:26">
      <c r="A119" t="s">
        <v>249</v>
      </c>
      <c r="B119" s="75" t="s">
        <v>192</v>
      </c>
      <c r="C119" s="47" t="s">
        <v>165</v>
      </c>
      <c r="D119" s="47" t="s">
        <v>165</v>
      </c>
      <c r="E119" s="77" t="s">
        <v>830</v>
      </c>
      <c r="F119" s="47" t="s">
        <v>460</v>
      </c>
      <c r="G119" t="s">
        <v>260</v>
      </c>
      <c r="H119" t="s">
        <v>164</v>
      </c>
      <c r="I119" t="s">
        <v>826</v>
      </c>
      <c r="J119" s="47" t="s">
        <v>165</v>
      </c>
      <c r="K119" t="s">
        <v>827</v>
      </c>
      <c r="L119" s="63" t="s">
        <v>255</v>
      </c>
      <c r="M119">
        <v>2091</v>
      </c>
      <c r="N119">
        <v>1823</v>
      </c>
      <c r="O119">
        <v>45</v>
      </c>
      <c r="P119">
        <v>45</v>
      </c>
      <c r="Q119">
        <v>0</v>
      </c>
      <c r="R119">
        <v>0</v>
      </c>
      <c r="S119">
        <v>2181</v>
      </c>
      <c r="T119" t="s">
        <v>256</v>
      </c>
      <c r="U119" t="s">
        <v>182</v>
      </c>
      <c r="V119" t="s">
        <v>831</v>
      </c>
      <c r="W119" t="s">
        <v>832</v>
      </c>
      <c r="X119" s="73" t="str">
        <f t="shared" si="2"/>
        <v>Open CSV</v>
      </c>
      <c r="Y119" s="73" t="str">
        <f t="shared" si="3"/>
        <v>Open PDF</v>
      </c>
      <c r="Z119" t="s">
        <v>182</v>
      </c>
    </row>
    <row r="120" spans="1:26">
      <c r="A120" t="s">
        <v>249</v>
      </c>
      <c r="B120" s="75" t="s">
        <v>192</v>
      </c>
      <c r="C120" s="47" t="s">
        <v>165</v>
      </c>
      <c r="D120" s="47" t="s">
        <v>165</v>
      </c>
      <c r="E120" s="77" t="s">
        <v>833</v>
      </c>
      <c r="F120" s="47" t="s">
        <v>270</v>
      </c>
      <c r="G120" t="s">
        <v>252</v>
      </c>
      <c r="H120" t="s">
        <v>164</v>
      </c>
      <c r="I120" t="s">
        <v>834</v>
      </c>
      <c r="J120" s="47" t="s">
        <v>165</v>
      </c>
      <c r="K120" t="s">
        <v>835</v>
      </c>
      <c r="L120" s="63" t="s">
        <v>255</v>
      </c>
      <c r="M120">
        <v>2034</v>
      </c>
      <c r="N120">
        <v>1496</v>
      </c>
      <c r="O120">
        <v>0</v>
      </c>
      <c r="P120">
        <v>0</v>
      </c>
      <c r="Q120">
        <v>75</v>
      </c>
      <c r="R120">
        <v>0</v>
      </c>
      <c r="S120">
        <v>2109</v>
      </c>
      <c r="T120" t="s">
        <v>256</v>
      </c>
      <c r="U120" t="s">
        <v>182</v>
      </c>
      <c r="V120" t="s">
        <v>836</v>
      </c>
      <c r="W120" t="s">
        <v>837</v>
      </c>
      <c r="X120" s="73" t="str">
        <f t="shared" si="2"/>
        <v>Open CSV</v>
      </c>
      <c r="Y120" s="73" t="str">
        <f t="shared" si="3"/>
        <v>Open PDF</v>
      </c>
      <c r="Z120" t="s">
        <v>182</v>
      </c>
    </row>
    <row r="121" spans="1:26">
      <c r="A121" t="s">
        <v>249</v>
      </c>
      <c r="B121" s="75" t="s">
        <v>192</v>
      </c>
      <c r="C121" s="47" t="s">
        <v>165</v>
      </c>
      <c r="D121" s="47" t="s">
        <v>165</v>
      </c>
      <c r="E121" s="77" t="s">
        <v>838</v>
      </c>
      <c r="F121" s="47" t="s">
        <v>460</v>
      </c>
      <c r="G121" t="s">
        <v>260</v>
      </c>
      <c r="H121" t="s">
        <v>164</v>
      </c>
      <c r="I121" t="s">
        <v>839</v>
      </c>
      <c r="J121" s="47" t="s">
        <v>165</v>
      </c>
      <c r="K121" t="s">
        <v>840</v>
      </c>
      <c r="L121" s="63" t="s">
        <v>255</v>
      </c>
      <c r="M121">
        <v>3599</v>
      </c>
      <c r="N121">
        <v>3340</v>
      </c>
      <c r="O121">
        <v>83</v>
      </c>
      <c r="P121">
        <v>83</v>
      </c>
      <c r="Q121">
        <v>0</v>
      </c>
      <c r="R121">
        <v>0</v>
      </c>
      <c r="S121">
        <v>3765</v>
      </c>
      <c r="T121" t="s">
        <v>256</v>
      </c>
      <c r="U121" t="s">
        <v>182</v>
      </c>
      <c r="V121" t="s">
        <v>841</v>
      </c>
      <c r="W121" t="s">
        <v>842</v>
      </c>
      <c r="X121" s="73" t="str">
        <f t="shared" si="2"/>
        <v>Open CSV</v>
      </c>
      <c r="Y121" s="73" t="str">
        <f t="shared" si="3"/>
        <v>Open PDF</v>
      </c>
      <c r="Z121" t="s">
        <v>182</v>
      </c>
    </row>
    <row r="122" spans="1:26">
      <c r="A122" t="s">
        <v>191</v>
      </c>
      <c r="B122" s="75" t="s">
        <v>192</v>
      </c>
      <c r="C122" s="47" t="s">
        <v>165</v>
      </c>
      <c r="D122" s="47" t="s">
        <v>165</v>
      </c>
      <c r="E122" s="76" t="s">
        <v>193</v>
      </c>
      <c r="F122" s="47" t="s">
        <v>194</v>
      </c>
      <c r="G122" t="s">
        <v>195</v>
      </c>
      <c r="H122" t="s">
        <v>164</v>
      </c>
      <c r="I122" t="s">
        <v>196</v>
      </c>
      <c r="J122" s="47" t="s">
        <v>197</v>
      </c>
      <c r="L122" s="63" t="s">
        <v>185</v>
      </c>
      <c r="M122">
        <v>243229</v>
      </c>
      <c r="N122">
        <v>236224</v>
      </c>
      <c r="O122">
        <v>0</v>
      </c>
      <c r="P122">
        <v>0</v>
      </c>
      <c r="Q122" s="51">
        <v>28347</v>
      </c>
      <c r="R122">
        <v>0</v>
      </c>
      <c r="S122">
        <v>271576</v>
      </c>
      <c r="T122" t="s">
        <v>198</v>
      </c>
      <c r="U122" t="s">
        <v>182</v>
      </c>
      <c r="V122" t="s">
        <v>199</v>
      </c>
      <c r="W122" t="s">
        <v>200</v>
      </c>
      <c r="X122" s="73" t="str">
        <f t="shared" si="2"/>
        <v>Open CSV</v>
      </c>
      <c r="Y122" s="73" t="str">
        <f t="shared" si="3"/>
        <v>Open PDF</v>
      </c>
      <c r="Z122" t="s">
        <v>182</v>
      </c>
    </row>
    <row r="123" spans="1:26">
      <c r="A123" t="s">
        <v>347</v>
      </c>
      <c r="B123" s="75" t="s">
        <v>192</v>
      </c>
      <c r="C123" s="47" t="s">
        <v>165</v>
      </c>
      <c r="D123" s="47" t="s">
        <v>165</v>
      </c>
      <c r="E123" s="77" t="s">
        <v>348</v>
      </c>
      <c r="F123" s="47" t="s">
        <v>349</v>
      </c>
      <c r="G123" t="s">
        <v>350</v>
      </c>
      <c r="H123" t="s">
        <v>164</v>
      </c>
      <c r="I123" t="s">
        <v>351</v>
      </c>
      <c r="J123" s="47" t="s">
        <v>352</v>
      </c>
      <c r="L123" s="63" t="s">
        <v>165</v>
      </c>
      <c r="M123">
        <v>81718</v>
      </c>
      <c r="N123">
        <v>79495</v>
      </c>
      <c r="O123">
        <v>0</v>
      </c>
      <c r="P123">
        <v>0</v>
      </c>
      <c r="Q123">
        <v>9540</v>
      </c>
      <c r="R123">
        <v>0</v>
      </c>
      <c r="S123">
        <v>91258</v>
      </c>
      <c r="T123" t="s">
        <v>353</v>
      </c>
      <c r="U123" t="s">
        <v>182</v>
      </c>
      <c r="V123" t="s">
        <v>354</v>
      </c>
      <c r="W123" t="s">
        <v>355</v>
      </c>
      <c r="X123" s="73" t="str">
        <f t="shared" si="2"/>
        <v>Open CSV</v>
      </c>
      <c r="Y123" s="73" t="str">
        <f t="shared" si="3"/>
        <v>Open PDF</v>
      </c>
      <c r="Z123" t="s">
        <v>182</v>
      </c>
    </row>
    <row r="124" spans="1:26">
      <c r="A124" t="s">
        <v>347</v>
      </c>
      <c r="B124" s="75" t="s">
        <v>192</v>
      </c>
      <c r="C124" s="47" t="s">
        <v>165</v>
      </c>
      <c r="D124" s="47" t="s">
        <v>165</v>
      </c>
      <c r="E124" s="77" t="s">
        <v>356</v>
      </c>
      <c r="F124" s="47" t="s">
        <v>357</v>
      </c>
      <c r="G124" t="s">
        <v>358</v>
      </c>
      <c r="H124" t="s">
        <v>164</v>
      </c>
      <c r="I124" t="s">
        <v>359</v>
      </c>
      <c r="J124" s="47" t="s">
        <v>360</v>
      </c>
      <c r="L124" s="63" t="s">
        <v>165</v>
      </c>
      <c r="M124">
        <v>45808</v>
      </c>
      <c r="N124">
        <v>44435</v>
      </c>
      <c r="O124" s="51">
        <v>1111</v>
      </c>
      <c r="P124" s="51">
        <v>1111</v>
      </c>
      <c r="Q124">
        <v>0</v>
      </c>
      <c r="R124">
        <v>0</v>
      </c>
      <c r="S124">
        <v>48030</v>
      </c>
      <c r="T124" t="s">
        <v>353</v>
      </c>
      <c r="U124" t="s">
        <v>182</v>
      </c>
      <c r="V124" t="s">
        <v>361</v>
      </c>
      <c r="W124" t="s">
        <v>362</v>
      </c>
      <c r="X124" s="73" t="str">
        <f t="shared" si="2"/>
        <v>Open CSV</v>
      </c>
      <c r="Y124" s="73" t="str">
        <f t="shared" si="3"/>
        <v>Open PDF</v>
      </c>
      <c r="Z124" t="s">
        <v>182</v>
      </c>
    </row>
    <row r="125" spans="1:26">
      <c r="A125" t="s">
        <v>347</v>
      </c>
      <c r="B125" s="75" t="s">
        <v>192</v>
      </c>
      <c r="C125" s="47" t="s">
        <v>165</v>
      </c>
      <c r="D125" s="47" t="s">
        <v>165</v>
      </c>
      <c r="E125" s="77" t="s">
        <v>363</v>
      </c>
      <c r="F125" s="47" t="s">
        <v>357</v>
      </c>
      <c r="G125" t="s">
        <v>358</v>
      </c>
      <c r="H125" t="s">
        <v>164</v>
      </c>
      <c r="I125" t="s">
        <v>364</v>
      </c>
      <c r="J125" s="47" t="s">
        <v>365</v>
      </c>
      <c r="L125" s="63" t="s">
        <v>165</v>
      </c>
      <c r="M125">
        <v>45808</v>
      </c>
      <c r="N125">
        <v>44435</v>
      </c>
      <c r="O125" s="51">
        <v>1111</v>
      </c>
      <c r="P125" s="51">
        <v>1111</v>
      </c>
      <c r="Q125">
        <v>0</v>
      </c>
      <c r="R125">
        <v>0</v>
      </c>
      <c r="S125">
        <v>48030</v>
      </c>
      <c r="T125" t="s">
        <v>353</v>
      </c>
      <c r="U125" t="s">
        <v>182</v>
      </c>
      <c r="V125" t="s">
        <v>366</v>
      </c>
      <c r="W125" t="s">
        <v>367</v>
      </c>
      <c r="X125" s="73" t="str">
        <f t="shared" si="2"/>
        <v>Open CSV</v>
      </c>
      <c r="Y125" s="73" t="str">
        <f t="shared" si="3"/>
        <v>Open PDF</v>
      </c>
      <c r="Z125" t="s">
        <v>182</v>
      </c>
    </row>
    <row r="126" spans="1:26">
      <c r="A126" t="s">
        <v>347</v>
      </c>
      <c r="B126" s="75" t="s">
        <v>192</v>
      </c>
      <c r="C126" s="47" t="s">
        <v>165</v>
      </c>
      <c r="D126" s="47" t="s">
        <v>165</v>
      </c>
      <c r="E126" s="77" t="s">
        <v>368</v>
      </c>
      <c r="F126" s="47" t="s">
        <v>357</v>
      </c>
      <c r="G126" t="s">
        <v>358</v>
      </c>
      <c r="H126" t="s">
        <v>164</v>
      </c>
      <c r="I126" t="s">
        <v>369</v>
      </c>
      <c r="J126" s="47" t="s">
        <v>370</v>
      </c>
      <c r="L126" s="63" t="s">
        <v>165</v>
      </c>
      <c r="M126">
        <v>45808</v>
      </c>
      <c r="N126">
        <v>44435</v>
      </c>
      <c r="O126" s="51">
        <v>1111</v>
      </c>
      <c r="P126" s="51">
        <v>1111</v>
      </c>
      <c r="Q126">
        <v>0</v>
      </c>
      <c r="R126">
        <v>0</v>
      </c>
      <c r="S126">
        <v>48030</v>
      </c>
      <c r="T126" t="s">
        <v>353</v>
      </c>
      <c r="U126" t="s">
        <v>182</v>
      </c>
      <c r="V126" t="s">
        <v>371</v>
      </c>
      <c r="W126" t="s">
        <v>372</v>
      </c>
      <c r="X126" s="73" t="str">
        <f t="shared" si="2"/>
        <v>Open CSV</v>
      </c>
      <c r="Y126" s="73" t="str">
        <f t="shared" si="3"/>
        <v>Open PDF</v>
      </c>
      <c r="Z126" t="s">
        <v>182</v>
      </c>
    </row>
    <row r="127" spans="1:26">
      <c r="A127" t="s">
        <v>347</v>
      </c>
      <c r="B127" s="75" t="s">
        <v>192</v>
      </c>
      <c r="C127" s="47" t="s">
        <v>165</v>
      </c>
      <c r="D127" s="47" t="s">
        <v>165</v>
      </c>
      <c r="E127" s="77" t="s">
        <v>373</v>
      </c>
      <c r="F127" s="47" t="s">
        <v>357</v>
      </c>
      <c r="G127" t="s">
        <v>358</v>
      </c>
      <c r="H127" t="s">
        <v>164</v>
      </c>
      <c r="I127" t="s">
        <v>374</v>
      </c>
      <c r="J127" s="47" t="s">
        <v>375</v>
      </c>
      <c r="L127" s="63" t="s">
        <v>165</v>
      </c>
      <c r="M127">
        <v>45808</v>
      </c>
      <c r="N127">
        <v>44435</v>
      </c>
      <c r="O127">
        <v>1111</v>
      </c>
      <c r="P127">
        <v>1111</v>
      </c>
      <c r="Q127" s="51">
        <v>0</v>
      </c>
      <c r="R127">
        <v>0</v>
      </c>
      <c r="S127">
        <v>48030</v>
      </c>
      <c r="T127" t="s">
        <v>353</v>
      </c>
      <c r="U127" t="s">
        <v>182</v>
      </c>
      <c r="V127" t="s">
        <v>376</v>
      </c>
      <c r="W127" t="s">
        <v>377</v>
      </c>
      <c r="X127" s="73" t="str">
        <f t="shared" si="2"/>
        <v>Open CSV</v>
      </c>
      <c r="Y127" s="73" t="str">
        <f t="shared" si="3"/>
        <v>Open PDF</v>
      </c>
      <c r="Z127" t="s">
        <v>182</v>
      </c>
    </row>
    <row r="128" spans="1:26">
      <c r="A128" t="s">
        <v>347</v>
      </c>
      <c r="B128" s="75" t="s">
        <v>192</v>
      </c>
      <c r="C128" s="47" t="s">
        <v>165</v>
      </c>
      <c r="D128" s="47" t="s">
        <v>165</v>
      </c>
      <c r="E128" s="77" t="s">
        <v>378</v>
      </c>
      <c r="F128" s="47" t="s">
        <v>357</v>
      </c>
      <c r="G128" t="s">
        <v>358</v>
      </c>
      <c r="H128" t="s">
        <v>164</v>
      </c>
      <c r="I128" t="s">
        <v>379</v>
      </c>
      <c r="J128" s="47" t="s">
        <v>380</v>
      </c>
      <c r="L128" s="63" t="s">
        <v>165</v>
      </c>
      <c r="M128">
        <v>45808</v>
      </c>
      <c r="N128">
        <v>44435</v>
      </c>
      <c r="O128">
        <v>1111</v>
      </c>
      <c r="P128">
        <v>1111</v>
      </c>
      <c r="Q128">
        <v>0</v>
      </c>
      <c r="R128">
        <v>0</v>
      </c>
      <c r="S128">
        <v>48030</v>
      </c>
      <c r="T128" t="s">
        <v>353</v>
      </c>
      <c r="U128" t="s">
        <v>182</v>
      </c>
      <c r="V128" t="s">
        <v>381</v>
      </c>
      <c r="W128" t="s">
        <v>382</v>
      </c>
      <c r="X128" s="73" t="str">
        <f t="shared" si="2"/>
        <v>Open CSV</v>
      </c>
      <c r="Y128" s="73" t="str">
        <f t="shared" si="3"/>
        <v>Open PDF</v>
      </c>
      <c r="Z128" t="s">
        <v>182</v>
      </c>
    </row>
    <row r="129" spans="1:26">
      <c r="A129" t="s">
        <v>347</v>
      </c>
      <c r="B129" s="75" t="s">
        <v>192</v>
      </c>
      <c r="C129" s="47" t="s">
        <v>165</v>
      </c>
      <c r="D129" s="47" t="s">
        <v>165</v>
      </c>
      <c r="E129" s="77" t="s">
        <v>383</v>
      </c>
      <c r="F129" s="47" t="s">
        <v>384</v>
      </c>
      <c r="G129" t="s">
        <v>358</v>
      </c>
      <c r="H129" t="s">
        <v>164</v>
      </c>
      <c r="I129" t="s">
        <v>385</v>
      </c>
      <c r="J129" s="47" t="s">
        <v>386</v>
      </c>
      <c r="L129" s="63" t="s">
        <v>165</v>
      </c>
      <c r="M129">
        <v>91312</v>
      </c>
      <c r="N129">
        <v>87840</v>
      </c>
      <c r="O129">
        <v>5270.5</v>
      </c>
      <c r="P129">
        <v>5270.5</v>
      </c>
      <c r="Q129">
        <v>0</v>
      </c>
      <c r="R129">
        <v>0</v>
      </c>
      <c r="S129">
        <v>101853</v>
      </c>
      <c r="T129" t="s">
        <v>353</v>
      </c>
      <c r="U129" t="s">
        <v>182</v>
      </c>
      <c r="V129" t="s">
        <v>387</v>
      </c>
      <c r="W129" t="s">
        <v>388</v>
      </c>
      <c r="X129" s="73" t="str">
        <f t="shared" si="2"/>
        <v>Open CSV</v>
      </c>
      <c r="Y129" s="73" t="str">
        <f t="shared" si="3"/>
        <v>Open PDF</v>
      </c>
      <c r="Z129" t="s">
        <v>182</v>
      </c>
    </row>
    <row r="130" spans="1:26">
      <c r="A130" t="s">
        <v>347</v>
      </c>
      <c r="B130" s="75" t="s">
        <v>192</v>
      </c>
      <c r="C130" s="47" t="s">
        <v>165</v>
      </c>
      <c r="D130" s="47" t="s">
        <v>165</v>
      </c>
      <c r="E130" s="77" t="s">
        <v>389</v>
      </c>
      <c r="F130" s="47" t="s">
        <v>390</v>
      </c>
      <c r="G130" t="s">
        <v>358</v>
      </c>
      <c r="H130" t="s">
        <v>164</v>
      </c>
      <c r="I130" t="s">
        <v>391</v>
      </c>
      <c r="J130" s="47" t="s">
        <v>392</v>
      </c>
      <c r="L130" s="63" t="s">
        <v>165</v>
      </c>
      <c r="M130">
        <v>91670</v>
      </c>
      <c r="N130">
        <v>88270</v>
      </c>
      <c r="O130">
        <v>5296.5</v>
      </c>
      <c r="P130">
        <v>5296.5</v>
      </c>
      <c r="Q130">
        <v>0</v>
      </c>
      <c r="R130">
        <v>0</v>
      </c>
      <c r="S130">
        <v>102263</v>
      </c>
      <c r="T130" t="s">
        <v>353</v>
      </c>
      <c r="U130" t="s">
        <v>182</v>
      </c>
      <c r="V130" t="s">
        <v>393</v>
      </c>
      <c r="W130" t="s">
        <v>394</v>
      </c>
      <c r="X130" s="73" t="str">
        <f t="shared" si="2"/>
        <v>Open CSV</v>
      </c>
      <c r="Y130" s="73" t="str">
        <f t="shared" si="3"/>
        <v>Open PDF</v>
      </c>
      <c r="Z130" t="s">
        <v>182</v>
      </c>
    </row>
    <row r="131" spans="1:26">
      <c r="A131" t="s">
        <v>347</v>
      </c>
      <c r="B131" s="75" t="s">
        <v>192</v>
      </c>
      <c r="C131" s="47" t="s">
        <v>165</v>
      </c>
      <c r="D131" s="47" t="s">
        <v>165</v>
      </c>
      <c r="E131" s="77" t="s">
        <v>395</v>
      </c>
      <c r="F131" s="47" t="s">
        <v>396</v>
      </c>
      <c r="G131" t="s">
        <v>358</v>
      </c>
      <c r="H131" t="s">
        <v>164</v>
      </c>
      <c r="I131" t="s">
        <v>397</v>
      </c>
      <c r="J131" s="47" t="s">
        <v>398</v>
      </c>
      <c r="L131" s="63" t="s">
        <v>165</v>
      </c>
      <c r="M131">
        <v>91665</v>
      </c>
      <c r="N131">
        <v>88270</v>
      </c>
      <c r="O131">
        <v>5296.5</v>
      </c>
      <c r="P131">
        <v>5296.5</v>
      </c>
      <c r="Q131">
        <v>0</v>
      </c>
      <c r="R131">
        <v>0</v>
      </c>
      <c r="S131">
        <v>102258</v>
      </c>
      <c r="T131" t="s">
        <v>353</v>
      </c>
      <c r="U131" t="s">
        <v>182</v>
      </c>
      <c r="V131" t="s">
        <v>399</v>
      </c>
      <c r="W131" t="s">
        <v>400</v>
      </c>
      <c r="X131" s="73" t="str">
        <f t="shared" ref="X131:X134" si="4">HYPERLINK(V131,"Open CSV")</f>
        <v>Open CSV</v>
      </c>
      <c r="Y131" s="73" t="str">
        <f t="shared" ref="Y131:Y134" si="5">HYPERLINK(W131,"Open PDF")</f>
        <v>Open PDF</v>
      </c>
      <c r="Z131" t="s">
        <v>182</v>
      </c>
    </row>
    <row r="132" spans="1:26">
      <c r="A132" t="s">
        <v>347</v>
      </c>
      <c r="B132" s="75" t="s">
        <v>192</v>
      </c>
      <c r="C132" s="47" t="s">
        <v>165</v>
      </c>
      <c r="D132" s="47" t="s">
        <v>165</v>
      </c>
      <c r="E132" s="77" t="s">
        <v>401</v>
      </c>
      <c r="F132" s="47" t="s">
        <v>402</v>
      </c>
      <c r="G132" t="s">
        <v>358</v>
      </c>
      <c r="H132" t="s">
        <v>164</v>
      </c>
      <c r="I132" t="s">
        <v>397</v>
      </c>
      <c r="J132" s="47" t="s">
        <v>398</v>
      </c>
      <c r="L132" s="63" t="s">
        <v>165</v>
      </c>
      <c r="M132">
        <v>5300</v>
      </c>
      <c r="N132">
        <v>5300</v>
      </c>
      <c r="O132">
        <v>477</v>
      </c>
      <c r="P132">
        <v>477</v>
      </c>
      <c r="Q132">
        <v>0</v>
      </c>
      <c r="R132">
        <v>0</v>
      </c>
      <c r="S132">
        <v>6254</v>
      </c>
      <c r="T132" t="s">
        <v>353</v>
      </c>
      <c r="U132" t="s">
        <v>182</v>
      </c>
      <c r="V132" t="s">
        <v>403</v>
      </c>
      <c r="W132" t="s">
        <v>404</v>
      </c>
      <c r="X132" s="73" t="str">
        <f t="shared" si="4"/>
        <v>Open CSV</v>
      </c>
      <c r="Y132" s="73" t="str">
        <f t="shared" si="5"/>
        <v>Open PDF</v>
      </c>
      <c r="Z132" t="s">
        <v>182</v>
      </c>
    </row>
    <row r="133" spans="1:26">
      <c r="A133" t="s">
        <v>730</v>
      </c>
      <c r="B133" s="75" t="s">
        <v>136</v>
      </c>
      <c r="C133" s="47" t="s">
        <v>165</v>
      </c>
      <c r="D133" s="47" t="s">
        <v>165</v>
      </c>
      <c r="E133" s="77" t="s">
        <v>731</v>
      </c>
      <c r="F133" s="47" t="s">
        <v>135</v>
      </c>
      <c r="G133" t="s">
        <v>732</v>
      </c>
      <c r="H133" t="s">
        <v>164</v>
      </c>
      <c r="J133" s="47" t="s">
        <v>733</v>
      </c>
      <c r="L133" s="63" t="s">
        <v>176</v>
      </c>
      <c r="M133">
        <v>14165</v>
      </c>
      <c r="N133">
        <v>14166.67</v>
      </c>
      <c r="O133">
        <v>0</v>
      </c>
      <c r="P133">
        <v>0</v>
      </c>
      <c r="Q133">
        <v>2550</v>
      </c>
      <c r="R133">
        <v>0</v>
      </c>
      <c r="S133">
        <v>16715</v>
      </c>
      <c r="T133" t="s">
        <v>734</v>
      </c>
      <c r="U133" t="s">
        <v>182</v>
      </c>
      <c r="V133" t="s">
        <v>735</v>
      </c>
      <c r="W133" t="s">
        <v>736</v>
      </c>
      <c r="X133" s="73" t="str">
        <f t="shared" si="4"/>
        <v>Open CSV</v>
      </c>
      <c r="Y133" s="73" t="str">
        <f t="shared" si="5"/>
        <v>Open PDF</v>
      </c>
      <c r="Z133" t="s">
        <v>182</v>
      </c>
    </row>
    <row r="134" spans="1:26">
      <c r="A134" t="s">
        <v>730</v>
      </c>
      <c r="B134" s="75" t="s">
        <v>136</v>
      </c>
      <c r="C134" s="47" t="s">
        <v>165</v>
      </c>
      <c r="D134" s="47" t="s">
        <v>165</v>
      </c>
      <c r="E134" s="77" t="s">
        <v>737</v>
      </c>
      <c r="F134" s="47" t="s">
        <v>135</v>
      </c>
      <c r="G134" t="s">
        <v>732</v>
      </c>
      <c r="H134" t="s">
        <v>164</v>
      </c>
      <c r="J134" s="47" t="s">
        <v>738</v>
      </c>
      <c r="L134" s="63" t="s">
        <v>176</v>
      </c>
      <c r="M134">
        <v>14340</v>
      </c>
      <c r="N134">
        <v>14344.44</v>
      </c>
      <c r="O134">
        <v>0</v>
      </c>
      <c r="P134">
        <v>0</v>
      </c>
      <c r="Q134">
        <v>2582</v>
      </c>
      <c r="R134">
        <v>0</v>
      </c>
      <c r="S134">
        <v>16922</v>
      </c>
      <c r="T134" t="s">
        <v>734</v>
      </c>
      <c r="U134" t="s">
        <v>182</v>
      </c>
      <c r="V134" t="s">
        <v>739</v>
      </c>
      <c r="W134" t="s">
        <v>740</v>
      </c>
      <c r="X134" s="73" t="str">
        <f t="shared" si="4"/>
        <v>Open CSV</v>
      </c>
      <c r="Y134" s="73" t="str">
        <f t="shared" si="5"/>
        <v>Open PDF</v>
      </c>
      <c r="Z134" t="s">
        <v>182</v>
      </c>
    </row>
    <row r="135" spans="1:26">
      <c r="X135" s="73"/>
      <c r="Y135" s="73"/>
    </row>
    <row r="136" spans="1:26">
      <c r="X136" s="73"/>
      <c r="Y136" s="73"/>
    </row>
    <row r="137" spans="1:26">
      <c r="X137" s="73"/>
      <c r="Y137" s="73"/>
    </row>
    <row r="138" spans="1:26">
      <c r="X138" s="73"/>
      <c r="Y138" s="73"/>
    </row>
    <row r="139" spans="1:26">
      <c r="Q139" s="51"/>
      <c r="X139" s="73"/>
      <c r="Y139" s="73"/>
    </row>
    <row r="140" spans="1:26">
      <c r="X140" s="73"/>
      <c r="Y140" s="73"/>
    </row>
    <row r="141" spans="1:26">
      <c r="X141" s="73"/>
      <c r="Y141" s="73"/>
    </row>
    <row r="142" spans="1:26">
      <c r="X142" s="73"/>
      <c r="Y142" s="73"/>
    </row>
    <row r="143" spans="1:26">
      <c r="Q143" s="51"/>
      <c r="X143" s="73"/>
      <c r="Y143" s="73"/>
    </row>
    <row r="144" spans="1:26">
      <c r="O144" s="51"/>
      <c r="P144" s="51"/>
      <c r="X144" s="73"/>
      <c r="Y144" s="73"/>
    </row>
    <row r="145" spans="15:25">
      <c r="O145" s="51"/>
      <c r="P145" s="51"/>
      <c r="Q145" s="51"/>
      <c r="X145" s="73"/>
      <c r="Y145" s="73"/>
    </row>
    <row r="146" spans="15:25">
      <c r="O146" s="51"/>
      <c r="P146" s="51"/>
      <c r="X146" s="73"/>
      <c r="Y146" s="73"/>
    </row>
    <row r="147" spans="15:25">
      <c r="X147" s="73"/>
      <c r="Y147" s="73"/>
    </row>
    <row r="148" spans="15:25">
      <c r="Q148" s="51"/>
      <c r="X148" s="73"/>
      <c r="Y148" s="73"/>
    </row>
    <row r="149" spans="15:25">
      <c r="X149" s="73"/>
      <c r="Y149" s="73"/>
    </row>
    <row r="150" spans="15:25">
      <c r="X150" s="73"/>
      <c r="Y150" s="73"/>
    </row>
    <row r="151" spans="15:25">
      <c r="X151" s="73"/>
      <c r="Y151" s="73"/>
    </row>
    <row r="152" spans="15:25">
      <c r="X152" s="73"/>
      <c r="Y152" s="73"/>
    </row>
  </sheetData>
  <sortState xmlns:xlrd2="http://schemas.microsoft.com/office/spreadsheetml/2017/richdata2" ref="A2:W134">
    <sortCondition ref="A2:A13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701D7-111C-4EC0-A18B-A2002C3F2FD6}">
  <sheetPr codeName="Sheet3"/>
  <dimension ref="A1:G17"/>
  <sheetViews>
    <sheetView workbookViewId="0">
      <selection activeCell="D4" sqref="D4"/>
    </sheetView>
  </sheetViews>
  <sheetFormatPr defaultColWidth="8.5703125" defaultRowHeight="15"/>
  <cols>
    <col min="1" max="1" width="14.42578125" style="1" customWidth="1"/>
    <col min="2" max="2" width="47.42578125" style="1" customWidth="1"/>
    <col min="3" max="3" width="26.42578125" style="1" customWidth="1"/>
    <col min="4" max="4" width="23.85546875" style="1" bestFit="1" customWidth="1"/>
    <col min="5" max="16384" width="8.5703125" style="1"/>
  </cols>
  <sheetData>
    <row r="1" spans="1:7" s="2" customFormat="1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7" ht="30">
      <c r="A2" s="1" t="s">
        <v>18</v>
      </c>
      <c r="B2" s="1" t="s">
        <v>19</v>
      </c>
      <c r="C2" s="1" t="s">
        <v>18</v>
      </c>
      <c r="D2" s="1" t="s">
        <v>18</v>
      </c>
      <c r="E2" s="1" t="s">
        <v>126</v>
      </c>
      <c r="F2" s="1" t="s">
        <v>18</v>
      </c>
    </row>
    <row r="3" spans="1:7">
      <c r="A3" s="1" t="s">
        <v>6</v>
      </c>
      <c r="B3" s="1" t="s">
        <v>7</v>
      </c>
      <c r="C3" s="1" t="s">
        <v>8</v>
      </c>
      <c r="D3" s="1" t="s">
        <v>9</v>
      </c>
      <c r="E3" s="1" t="s">
        <v>6</v>
      </c>
      <c r="F3" s="1" t="s">
        <v>6</v>
      </c>
    </row>
    <row r="4" spans="1:7" ht="30">
      <c r="A4" s="1" t="s">
        <v>32</v>
      </c>
      <c r="B4" s="1" t="s">
        <v>33</v>
      </c>
      <c r="C4" s="1" t="s">
        <v>34</v>
      </c>
      <c r="D4" s="1" t="s">
        <v>35</v>
      </c>
      <c r="E4" s="1" t="s">
        <v>127</v>
      </c>
      <c r="F4" s="1" t="s">
        <v>32</v>
      </c>
    </row>
    <row r="5" spans="1:7">
      <c r="A5" s="1" t="s">
        <v>51</v>
      </c>
      <c r="B5" s="1" t="s">
        <v>52</v>
      </c>
      <c r="C5" s="1" t="s">
        <v>53</v>
      </c>
      <c r="D5" s="1" t="s">
        <v>51</v>
      </c>
      <c r="E5" s="1" t="s">
        <v>67</v>
      </c>
      <c r="F5" s="1" t="s">
        <v>67</v>
      </c>
    </row>
    <row r="6" spans="1:7">
      <c r="A6" s="1" t="s">
        <v>36</v>
      </c>
      <c r="B6" s="1" t="s">
        <v>37</v>
      </c>
      <c r="C6" s="1" t="s">
        <v>38</v>
      </c>
      <c r="D6" s="1" t="s">
        <v>39</v>
      </c>
      <c r="E6" s="1" t="s">
        <v>128</v>
      </c>
      <c r="F6" s="1" t="s">
        <v>36</v>
      </c>
    </row>
    <row r="7" spans="1:7">
      <c r="A7" s="1" t="s">
        <v>20</v>
      </c>
      <c r="B7" s="1" t="s">
        <v>21</v>
      </c>
      <c r="C7" s="1" t="s">
        <v>22</v>
      </c>
      <c r="D7" s="1" t="s">
        <v>20</v>
      </c>
      <c r="E7" s="1" t="s">
        <v>20</v>
      </c>
      <c r="F7" s="1" t="s">
        <v>20</v>
      </c>
    </row>
    <row r="8" spans="1:7">
      <c r="A8" s="1" t="s">
        <v>61</v>
      </c>
      <c r="B8" s="1" t="s">
        <v>63</v>
      </c>
      <c r="C8" s="1" t="s">
        <v>58</v>
      </c>
      <c r="D8" t="s">
        <v>62</v>
      </c>
      <c r="E8" t="s">
        <v>61</v>
      </c>
      <c r="F8" t="s">
        <v>62</v>
      </c>
    </row>
    <row r="9" spans="1:7" ht="30">
      <c r="A9" s="1" t="s">
        <v>10</v>
      </c>
      <c r="B9" s="1" t="s">
        <v>11</v>
      </c>
      <c r="C9" s="1" t="s">
        <v>12</v>
      </c>
      <c r="D9" s="1" t="s">
        <v>13</v>
      </c>
      <c r="E9" s="1" t="s">
        <v>129</v>
      </c>
      <c r="F9" s="1" t="s">
        <v>10</v>
      </c>
    </row>
    <row r="10" spans="1:7">
      <c r="A10" s="1" t="s">
        <v>14</v>
      </c>
      <c r="B10" s="1" t="s">
        <v>15</v>
      </c>
      <c r="C10" s="1" t="s">
        <v>16</v>
      </c>
      <c r="D10" s="1" t="s">
        <v>17</v>
      </c>
      <c r="E10" s="1" t="s">
        <v>130</v>
      </c>
      <c r="F10" s="1" t="s">
        <v>14</v>
      </c>
    </row>
    <row r="11" spans="1:7" ht="30">
      <c r="A11" s="1" t="s">
        <v>28</v>
      </c>
      <c r="B11" s="1" t="s">
        <v>29</v>
      </c>
      <c r="C11" s="1" t="s">
        <v>30</v>
      </c>
      <c r="D11" s="1" t="s">
        <v>31</v>
      </c>
      <c r="E11" s="1" t="s">
        <v>131</v>
      </c>
      <c r="F11" s="1" t="s">
        <v>28</v>
      </c>
    </row>
    <row r="12" spans="1:7" ht="30">
      <c r="A12" s="1" t="s">
        <v>23</v>
      </c>
      <c r="B12" s="1" t="s">
        <v>24</v>
      </c>
      <c r="C12" s="1" t="s">
        <v>25</v>
      </c>
      <c r="D12" s="1" t="s">
        <v>26</v>
      </c>
      <c r="E12" s="1" t="s">
        <v>132</v>
      </c>
      <c r="F12" s="1" t="s">
        <v>23</v>
      </c>
      <c r="G12" s="1" t="s">
        <v>27</v>
      </c>
    </row>
    <row r="13" spans="1:7" ht="30">
      <c r="A13" s="1" t="s">
        <v>54</v>
      </c>
      <c r="B13" s="1" t="s">
        <v>55</v>
      </c>
      <c r="C13" s="1" t="s">
        <v>56</v>
      </c>
      <c r="D13" s="1" t="s">
        <v>57</v>
      </c>
      <c r="E13" s="1" t="s">
        <v>133</v>
      </c>
      <c r="F13" s="1" t="s">
        <v>54</v>
      </c>
    </row>
    <row r="14" spans="1:7" ht="30">
      <c r="A14" s="1" t="s">
        <v>47</v>
      </c>
      <c r="B14" s="1" t="s">
        <v>48</v>
      </c>
      <c r="C14" s="1" t="s">
        <v>49</v>
      </c>
      <c r="D14" s="1" t="s">
        <v>50</v>
      </c>
      <c r="E14" s="1" t="s">
        <v>68</v>
      </c>
      <c r="F14" s="1" t="s">
        <v>68</v>
      </c>
    </row>
    <row r="15" spans="1:7">
      <c r="A15" s="1" t="s">
        <v>40</v>
      </c>
      <c r="B15" s="1" t="s">
        <v>41</v>
      </c>
      <c r="C15" s="1" t="s">
        <v>42</v>
      </c>
      <c r="D15" s="1" t="s">
        <v>43</v>
      </c>
      <c r="E15" s="1" t="s">
        <v>134</v>
      </c>
      <c r="F15" s="1" t="s">
        <v>40</v>
      </c>
    </row>
    <row r="16" spans="1:7" ht="30">
      <c r="A16" s="1" t="s">
        <v>44</v>
      </c>
      <c r="B16" s="1" t="s">
        <v>45</v>
      </c>
      <c r="C16" s="1" t="s">
        <v>46</v>
      </c>
      <c r="D16" s="1" t="s">
        <v>44</v>
      </c>
      <c r="E16" s="1" t="s">
        <v>69</v>
      </c>
      <c r="F16" s="1" t="s">
        <v>69</v>
      </c>
    </row>
    <row r="17" spans="1:6">
      <c r="A17" s="1" t="s">
        <v>65</v>
      </c>
      <c r="D17" s="1" t="s">
        <v>65</v>
      </c>
      <c r="E17" s="1" t="s">
        <v>70</v>
      </c>
      <c r="F17" s="1" t="s">
        <v>70</v>
      </c>
    </row>
  </sheetData>
  <sheetProtection algorithmName="SHA-512" hashValue="NIWYIm9lPotS0dZh7GR/4u6Vc+Pi9mBm4CHlzV+r2FiytdByr/9fzYMKphbMXhvDgbmaZj/4g4u3+WfqWz53bg==" saltValue="pqgpvwv6/62yYmQRBwhU7w==" spinCount="100000" sheet="1" objects="1" scenarios="1"/>
  <sortState xmlns:xlrd2="http://schemas.microsoft.com/office/spreadsheetml/2017/richdata2" ref="A2:G16">
    <sortCondition ref="A2:A16"/>
  </sortState>
  <hyperlinks>
    <hyperlink ref="B8" r:id="rId1" display="mailto:gstin.lufthansa@ssiipl.com" xr:uid="{24C714D1-41F3-4F20-854B-BD4C2821C515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C58C-A78A-43DF-9B50-C9C41F859F4A}">
  <sheetPr codeName="Sheet4"/>
  <dimension ref="A1:E19"/>
  <sheetViews>
    <sheetView tabSelected="1" workbookViewId="0">
      <selection activeCell="B14" sqref="B14"/>
    </sheetView>
  </sheetViews>
  <sheetFormatPr defaultRowHeight="15"/>
  <cols>
    <col min="1" max="2" width="22.85546875" bestFit="1" customWidth="1"/>
    <col min="3" max="3" width="15" bestFit="1" customWidth="1"/>
  </cols>
  <sheetData>
    <row r="1" spans="1:2">
      <c r="A1" t="s">
        <v>172</v>
      </c>
      <c r="B1" t="s">
        <v>173</v>
      </c>
    </row>
    <row r="2" spans="1:2">
      <c r="A2" t="s">
        <v>59</v>
      </c>
    </row>
    <row r="3" spans="1:2">
      <c r="A3" t="s">
        <v>60</v>
      </c>
    </row>
    <row r="4" spans="1:2">
      <c r="A4" t="s">
        <v>66</v>
      </c>
    </row>
    <row r="5" spans="1:2">
      <c r="A5" t="s">
        <v>167</v>
      </c>
      <c r="B5" s="1"/>
    </row>
    <row r="6" spans="1:2">
      <c r="A6" t="s">
        <v>168</v>
      </c>
    </row>
    <row r="7" spans="1:2">
      <c r="A7" t="s">
        <v>169</v>
      </c>
    </row>
    <row r="8" spans="1:2">
      <c r="A8" t="s">
        <v>170</v>
      </c>
    </row>
    <row r="9" spans="1:2">
      <c r="A9" t="s">
        <v>171</v>
      </c>
    </row>
    <row r="10" spans="1:2">
      <c r="A10" t="s">
        <v>177</v>
      </c>
      <c r="B10" s="50" t="s">
        <v>166</v>
      </c>
    </row>
    <row r="12" spans="1:2">
      <c r="A12" t="s">
        <v>174</v>
      </c>
      <c r="B12">
        <v>133</v>
      </c>
    </row>
    <row r="13" spans="1:2">
      <c r="A13" t="s">
        <v>178</v>
      </c>
    </row>
    <row r="14" spans="1:2">
      <c r="A14" t="s">
        <v>179</v>
      </c>
    </row>
    <row r="15" spans="1:2">
      <c r="A15" t="s">
        <v>180</v>
      </c>
    </row>
    <row r="18" spans="1:5" hidden="1">
      <c r="A18" t="s">
        <v>190</v>
      </c>
      <c r="B18" t="s">
        <v>190</v>
      </c>
    </row>
    <row r="19" spans="1:5">
      <c r="E19" t="s">
        <v>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MJV</vt:lpstr>
      <vt:lpstr>MJV Macro</vt:lpstr>
      <vt:lpstr>Report</vt:lpstr>
      <vt:lpstr>Airline_Master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2020-12-15T08:22:38Z</dcterms:modified>
</cp:coreProperties>
</file>