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updateLinks="never" codeName="ThisWorkbook"/>
  <xr:revisionPtr revIDLastSave="0" documentId="13_ncr:1_{D2BA1E94-1DE8-4CEF-B36A-8BC7EDD27BDA}" xr6:coauthVersionLast="44" xr6:coauthVersionMax="44" xr10:uidLastSave="{00000000-0000-0000-0000-000000000000}"/>
  <bookViews>
    <workbookView xWindow="-110" yWindow="-110" windowWidth="19420" windowHeight="10420" activeTab="4" xr2:uid="{00000000-000D-0000-FFFF-FFFF00000000}"/>
  </bookViews>
  <sheets>
    <sheet name="MJV" sheetId="6" r:id="rId1"/>
    <sheet name="MJV Macro" sheetId="8" r:id="rId2"/>
    <sheet name="Report" sheetId="10" r:id="rId3"/>
    <sheet name="Airline_Master" sheetId="3" r:id="rId4"/>
    <sheet name="Config" sheetId="4" r:id="rId5"/>
  </sheets>
  <functionGroups builtInGroupCount="19"/>
  <externalReferences>
    <externalReference r:id="rId6"/>
  </externalReferences>
  <definedNames>
    <definedName name="_xlnm._FilterDatabase" localSheetId="3" hidden="1">Airline_Master!$A$1:$G$17</definedName>
    <definedName name="AssetClass">#REF!</definedName>
    <definedName name="CCCode">#REF!</definedName>
    <definedName name="CompanyCode">#REF!</definedName>
    <definedName name="CountryCode">#REF!</definedName>
    <definedName name="DepKey">#REF!</definedName>
    <definedName name="HierarchyArea">#REF!</definedName>
    <definedName name="OrderType">#REF!</definedName>
    <definedName name="PCCode">#REF!</definedName>
    <definedName name="Postings">#REF!</definedName>
    <definedName name="RegionCode">#REF!</definedName>
    <definedName name="Settlement">#REF!</definedName>
    <definedName name="Yes_N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3" i="10" l="1"/>
  <c r="Y4" i="10"/>
  <c r="Y5" i="10"/>
  <c r="Y6" i="10"/>
  <c r="Y7" i="10"/>
  <c r="Y8" i="10"/>
  <c r="Y9" i="10"/>
  <c r="Y10" i="10"/>
  <c r="Y11" i="10"/>
  <c r="Y12" i="10"/>
  <c r="Y13" i="10"/>
  <c r="Y14" i="10"/>
  <c r="Y15" i="10"/>
  <c r="Y16" i="10"/>
  <c r="Y17" i="10"/>
  <c r="X3" i="10"/>
  <c r="X4" i="10"/>
  <c r="X5" i="10"/>
  <c r="X6" i="10"/>
  <c r="X7" i="10"/>
  <c r="X8" i="10"/>
  <c r="X9" i="10"/>
  <c r="X10" i="10"/>
  <c r="X11" i="10"/>
  <c r="X12" i="10"/>
  <c r="X13" i="10"/>
  <c r="X14" i="10"/>
  <c r="X15" i="10"/>
  <c r="X16" i="10"/>
  <c r="X17" i="10"/>
  <c r="Y2" i="10"/>
  <c r="X2" i="10"/>
</calcChain>
</file>

<file path=xl/sharedStrings.xml><?xml version="1.0" encoding="utf-8"?>
<sst xmlns="http://schemas.openxmlformats.org/spreadsheetml/2006/main" count="682" uniqueCount="264">
  <si>
    <t>AirlineName</t>
    <phoneticPr fontId="0"/>
  </si>
  <si>
    <t>Sender Address</t>
    <phoneticPr fontId="0"/>
  </si>
  <si>
    <t>subject</t>
    <phoneticPr fontId="0"/>
  </si>
  <si>
    <t>text to find in body</t>
    <phoneticPr fontId="0"/>
  </si>
  <si>
    <t>Shared folder path</t>
    <phoneticPr fontId="0"/>
  </si>
  <si>
    <t>Box sync folder path</t>
    <phoneticPr fontId="0"/>
  </si>
  <si>
    <t xml:space="preserve">Cathay </t>
    <phoneticPr fontId="0"/>
  </si>
  <si>
    <t>CX_GST_TAX_INVOICE@SUTHERLANDGLOBAL.COM</t>
    <phoneticPr fontId="0"/>
  </si>
  <si>
    <t>Cathay Pacific Airlines GST</t>
    <phoneticPr fontId="0"/>
  </si>
  <si>
    <t>Cathay Pacific Airlines</t>
    <phoneticPr fontId="0"/>
  </si>
  <si>
    <t xml:space="preserve">Malaysia </t>
    <phoneticPr fontId="0"/>
  </si>
  <si>
    <t>noreply_Indiataxinv@malaysiaairlines.com</t>
    <phoneticPr fontId="0"/>
  </si>
  <si>
    <t>Malaysia Airlines GST</t>
    <phoneticPr fontId="0"/>
  </si>
  <si>
    <t>Malaysia Airlines</t>
    <phoneticPr fontId="0"/>
  </si>
  <si>
    <t xml:space="preserve">Qatar </t>
    <phoneticPr fontId="0"/>
  </si>
  <si>
    <t>gstinvoices@in.qatarairways.com</t>
    <phoneticPr fontId="0"/>
  </si>
  <si>
    <t>Tax Invoice for your Booking</t>
    <phoneticPr fontId="0"/>
  </si>
  <si>
    <t>Qatar Airways</t>
    <phoneticPr fontId="0"/>
  </si>
  <si>
    <t>Air France</t>
    <phoneticPr fontId="0"/>
  </si>
  <si>
    <t>afgstinvoices@megasoftsol.com</t>
    <phoneticPr fontId="0"/>
  </si>
  <si>
    <t>KLM</t>
    <phoneticPr fontId="0"/>
  </si>
  <si>
    <t>klmgstinvoices@megasoftsol.com</t>
    <phoneticPr fontId="0"/>
  </si>
  <si>
    <t>KLM GST</t>
    <phoneticPr fontId="0"/>
  </si>
  <si>
    <t xml:space="preserve">SpiceJet </t>
    <phoneticPr fontId="0"/>
  </si>
  <si>
    <t>no-reply@spicejet.com</t>
    <phoneticPr fontId="0"/>
  </si>
  <si>
    <t>SpiceJet Invoice PNR</t>
    <phoneticPr fontId="0"/>
  </si>
  <si>
    <t>Team SpiceJet</t>
    <phoneticPr fontId="0"/>
  </si>
  <si>
    <t>body is in image</t>
    <phoneticPr fontId="0"/>
  </si>
  <si>
    <t>Singapore</t>
    <phoneticPr fontId="0"/>
  </si>
  <si>
    <t>yogeshkbehl@sqingst.com</t>
    <phoneticPr fontId="0"/>
  </si>
  <si>
    <t>Singapore Airlines Limited | GST</t>
    <phoneticPr fontId="0"/>
  </si>
  <si>
    <t>Singapore Airlines Limited</t>
    <phoneticPr fontId="0"/>
  </si>
  <si>
    <t>Emirates</t>
    <phoneticPr fontId="0"/>
  </si>
  <si>
    <t>donotreply-gstinvoices@emirates.com</t>
    <phoneticPr fontId="0"/>
  </si>
  <si>
    <t xml:space="preserve">GST invoices for the month of </t>
    <phoneticPr fontId="0"/>
  </si>
  <si>
    <t xml:space="preserve">Emirates </t>
    <phoneticPr fontId="0"/>
  </si>
  <si>
    <t>Indigo</t>
    <phoneticPr fontId="0"/>
  </si>
  <si>
    <t>6EGSTInvoice@goindigo.in</t>
    <phoneticPr fontId="0"/>
  </si>
  <si>
    <t xml:space="preserve">TaxInvoice - </t>
    <phoneticPr fontId="0"/>
  </si>
  <si>
    <t>GoIndigo</t>
    <phoneticPr fontId="0"/>
  </si>
  <si>
    <t>THAI</t>
    <phoneticPr fontId="0"/>
  </si>
  <si>
    <t>tax_india@thaiairways.com</t>
    <phoneticPr fontId="0"/>
  </si>
  <si>
    <t>Thai Airways Tax Invoice</t>
    <phoneticPr fontId="0"/>
  </si>
  <si>
    <t>Thai Airways</t>
    <phoneticPr fontId="0"/>
  </si>
  <si>
    <t>United Airlines Inc</t>
    <phoneticPr fontId="0"/>
  </si>
  <si>
    <t>GST@united.com</t>
    <phoneticPr fontId="0"/>
  </si>
  <si>
    <t>United Airlines GST</t>
    <phoneticPr fontId="0"/>
  </si>
  <si>
    <t>Tata Sia Airlines</t>
    <phoneticPr fontId="0"/>
  </si>
  <si>
    <t>gst.ra1@airvistara.com</t>
    <phoneticPr fontId="0"/>
  </si>
  <si>
    <t>Your GST Invoice</t>
    <phoneticPr fontId="0"/>
  </si>
  <si>
    <t>Vistara</t>
    <phoneticPr fontId="0"/>
  </si>
  <si>
    <t>Etihad Airways</t>
    <phoneticPr fontId="0"/>
  </si>
  <si>
    <t>etihadinvoicing@cnkindia.com</t>
    <phoneticPr fontId="0"/>
  </si>
  <si>
    <t>(Invoice for the month</t>
    <phoneticPr fontId="0"/>
  </si>
  <si>
    <t>SWISS</t>
    <phoneticPr fontId="0"/>
  </si>
  <si>
    <t>gstin.swiss@ssiipl.com</t>
    <phoneticPr fontId="0"/>
  </si>
  <si>
    <t>Swiss International Airlines Ltd GST</t>
    <phoneticPr fontId="0"/>
  </si>
  <si>
    <t>Swiss International Airlines Ltd</t>
    <phoneticPr fontId="0"/>
  </si>
  <si>
    <t>Lufthansa German Airlines</t>
  </si>
  <si>
    <t>BaseBoxFolderPath</t>
  </si>
  <si>
    <t>BasePDFsSharedDrivePath</t>
  </si>
  <si>
    <t>Lufthansa</t>
  </si>
  <si>
    <t xml:space="preserve">Lufthansa </t>
  </si>
  <si>
    <t>gstin.lufthansa@ssiipl.com</t>
  </si>
  <si>
    <t>Open CSV</t>
  </si>
  <si>
    <t>Oman Air</t>
  </si>
  <si>
    <t>BaseCSVfilesPath_1</t>
  </si>
  <si>
    <t>Etihad</t>
  </si>
  <si>
    <t>Tata Sia</t>
  </si>
  <si>
    <t>United</t>
  </si>
  <si>
    <t>Oman</t>
  </si>
  <si>
    <t>Journal Entries Template</t>
  </si>
  <si>
    <t>Company Code</t>
  </si>
  <si>
    <t>IN12</t>
  </si>
  <si>
    <t>Document Type</t>
  </si>
  <si>
    <t>SA  G/L account document</t>
  </si>
  <si>
    <t>Journal Type*:</t>
  </si>
  <si>
    <t>Journal No.</t>
  </si>
  <si>
    <t>Remarks (if any)</t>
  </si>
  <si>
    <t>Accrual with auto reversal</t>
  </si>
  <si>
    <t>Recurring Journal</t>
  </si>
  <si>
    <t>Recurring Schedule / Details (Pls attach as supporting documents)</t>
  </si>
  <si>
    <t>Post with Clearing Journal</t>
  </si>
  <si>
    <t>List of open items to be cleared
(Pls attach as supporting documents)</t>
  </si>
  <si>
    <t>Reversal Period</t>
  </si>
  <si>
    <t>Start Period</t>
  </si>
  <si>
    <t>End Period</t>
  </si>
  <si>
    <t>Clearing GL A/C</t>
  </si>
  <si>
    <t>Clearing date</t>
  </si>
  <si>
    <t>XXXXXXXX</t>
  </si>
  <si>
    <t>DD/MM/YYYY</t>
  </si>
  <si>
    <t>Note: Pls upgroup for additional rows (if necessary)</t>
  </si>
  <si>
    <t>4. Original Invoice date</t>
    <phoneticPr fontId="0" type="noConversion"/>
  </si>
  <si>
    <t>Actual Date</t>
    <phoneticPr fontId="2"/>
  </si>
  <si>
    <t>Constant</t>
    <phoneticPr fontId="0" type="noConversion"/>
  </si>
  <si>
    <t>5. Invoice number</t>
    <phoneticPr fontId="0" type="noConversion"/>
  </si>
  <si>
    <t>GST amount</t>
    <phoneticPr fontId="0" type="noConversion"/>
  </si>
  <si>
    <t>Total Invoice value</t>
    <phoneticPr fontId="0" type="noConversion"/>
  </si>
  <si>
    <t>Vendorname along with Financial year</t>
  </si>
  <si>
    <t>Header Data</t>
  </si>
  <si>
    <t>Line Item Data</t>
  </si>
  <si>
    <t>Scenario</t>
    <phoneticPr fontId="0" type="noConversion"/>
  </si>
  <si>
    <t>Document Date</t>
  </si>
  <si>
    <t xml:space="preserve">Posting Date </t>
  </si>
  <si>
    <t xml:space="preserve">Reference </t>
  </si>
  <si>
    <t>Header Text</t>
  </si>
  <si>
    <t>Currency</t>
  </si>
  <si>
    <t>Line Item #</t>
  </si>
  <si>
    <t xml:space="preserve">Posting Key </t>
  </si>
  <si>
    <t>Special GL Ind.</t>
  </si>
  <si>
    <t>Account</t>
  </si>
  <si>
    <t>Bus Area</t>
  </si>
  <si>
    <t>Amount</t>
  </si>
  <si>
    <t>Local Amount</t>
  </si>
  <si>
    <t>Tax Code</t>
  </si>
  <si>
    <t xml:space="preserve">Tax Amount </t>
  </si>
  <si>
    <t xml:space="preserve">Cost Center </t>
  </si>
  <si>
    <t>Internal Order</t>
  </si>
  <si>
    <t>Product Brand</t>
  </si>
  <si>
    <t>Profit Center</t>
  </si>
  <si>
    <t>Due Date</t>
  </si>
  <si>
    <t>Material Number</t>
  </si>
  <si>
    <t xml:space="preserve">Assignment </t>
  </si>
  <si>
    <t>Text</t>
  </si>
  <si>
    <t>WBS Element</t>
  </si>
  <si>
    <t>13,2</t>
  </si>
  <si>
    <t>Air France</t>
  </si>
  <si>
    <t>Emirates</t>
  </si>
  <si>
    <t>Indigo</t>
  </si>
  <si>
    <t>Malaysia</t>
  </si>
  <si>
    <t>Qatar</t>
  </si>
  <si>
    <t>Singapore</t>
  </si>
  <si>
    <t>SpiceJet</t>
  </si>
  <si>
    <t>SWISS</t>
  </si>
  <si>
    <t>THAI</t>
  </si>
  <si>
    <t>30/11/2019</t>
  </si>
  <si>
    <t>Tax Invoice</t>
  </si>
  <si>
    <t>31/10/2019</t>
  </si>
  <si>
    <t>Airlinecredit</t>
  </si>
  <si>
    <t>INR</t>
  </si>
  <si>
    <t>INGT</t>
  </si>
  <si>
    <t>Name of Airlines</t>
  </si>
  <si>
    <t>Type</t>
  </si>
  <si>
    <t>Original Invoice number</t>
  </si>
  <si>
    <t>Original Invoice date</t>
  </si>
  <si>
    <t>Invoice number</t>
  </si>
  <si>
    <t>Invoice date</t>
  </si>
  <si>
    <t>GSTN of Airlines</t>
  </si>
  <si>
    <t>GSTN of our entity</t>
  </si>
  <si>
    <t>Name of passenger</t>
  </si>
  <si>
    <t>Ticket number</t>
  </si>
  <si>
    <t>PNR</t>
  </si>
  <si>
    <t>HSN/SAC</t>
  </si>
  <si>
    <t>Invoice Amount</t>
  </si>
  <si>
    <t>Taxable value</t>
  </si>
  <si>
    <t>CGST</t>
  </si>
  <si>
    <t>SGST</t>
  </si>
  <si>
    <t>IGST</t>
  </si>
  <si>
    <t>Cess</t>
  </si>
  <si>
    <t>Total Invoice value</t>
  </si>
  <si>
    <t>Group number</t>
  </si>
  <si>
    <t>Status</t>
  </si>
  <si>
    <t>CSV path</t>
  </si>
  <si>
    <t>PDF path</t>
  </si>
  <si>
    <t>33AABCA2389N1ZH</t>
  </si>
  <si>
    <t/>
  </si>
  <si>
    <t>Tax invoice</t>
  </si>
  <si>
    <t>Emirates - FY 20-21</t>
  </si>
  <si>
    <t>₹</t>
  </si>
  <si>
    <t>Business_EmailTo</t>
  </si>
  <si>
    <t>Business_EmailCC</t>
  </si>
  <si>
    <t>Support_EmailTo</t>
  </si>
  <si>
    <t>Support_EmailCC</t>
  </si>
  <si>
    <t>BotConfig_Email</t>
  </si>
  <si>
    <t>Key</t>
  </si>
  <si>
    <t>Value</t>
  </si>
  <si>
    <t>EmailsCount</t>
  </si>
  <si>
    <t>Open PDF</t>
  </si>
  <si>
    <t>996425</t>
  </si>
  <si>
    <t>Symbol</t>
  </si>
  <si>
    <t>Error in Email Reading</t>
  </si>
  <si>
    <t>Error in MJV creation</t>
  </si>
  <si>
    <t>Error in csv data</t>
  </si>
  <si>
    <t>MJV status</t>
  </si>
  <si>
    <t>33AAACE1237C2ZF</t>
  </si>
  <si>
    <t>Group_97</t>
  </si>
  <si>
    <t>Success</t>
  </si>
  <si>
    <t>TNINTK0919018931</t>
  </si>
  <si>
    <t>30/09/2019</t>
  </si>
  <si>
    <t>176-9478051703</t>
  </si>
  <si>
    <t>TNINTK0919019159</t>
  </si>
  <si>
    <t>176-9478051722</t>
  </si>
  <si>
    <t>TNINTK0919019160</t>
  </si>
  <si>
    <t>176-9478051726</t>
  </si>
  <si>
    <t>TNINTK0919019161</t>
  </si>
  <si>
    <t>176-9478051732</t>
  </si>
  <si>
    <t>TNINTK1019006376</t>
  </si>
  <si>
    <t>10/10/2019</t>
  </si>
  <si>
    <t>176-9478408662</t>
  </si>
  <si>
    <t>TNINTK1019013465</t>
  </si>
  <si>
    <t>24/10/2019</t>
  </si>
  <si>
    <t>176-9478845109</t>
  </si>
  <si>
    <t>TNINTK1019013416</t>
  </si>
  <si>
    <t>28/10/2019</t>
  </si>
  <si>
    <t>176-9478845194</t>
  </si>
  <si>
    <t>TNINTK1019013297</t>
  </si>
  <si>
    <t>176-9478845195</t>
  </si>
  <si>
    <t>CATHAY PACIFIC AIRWAYS LTD</t>
  </si>
  <si>
    <t>GST Tax Invoice</t>
  </si>
  <si>
    <t>CX33/1920/043505</t>
  </si>
  <si>
    <t>33AABCC5644E1Z2</t>
  </si>
  <si>
    <t>1609478845051</t>
  </si>
  <si>
    <t>9964</t>
  </si>
  <si>
    <t>Group 211</t>
  </si>
  <si>
    <t>CX33/1920/048747</t>
  </si>
  <si>
    <t>25/11/2019</t>
  </si>
  <si>
    <t>1609479601312</t>
  </si>
  <si>
    <t>CX33/1920/048748</t>
  </si>
  <si>
    <t>1609479601313</t>
  </si>
  <si>
    <t>CX33/1920/050273</t>
  </si>
  <si>
    <t>1609479601410</t>
  </si>
  <si>
    <t>CX33/1920/050274</t>
  </si>
  <si>
    <t>1609479601412</t>
  </si>
  <si>
    <t>31102019</t>
  </si>
  <si>
    <t>CATHAY PACIFIC AIRWAYS LTD - FY 20-21</t>
  </si>
  <si>
    <t>25112019</t>
  </si>
  <si>
    <t>30112019</t>
  </si>
  <si>
    <t>30092019</t>
  </si>
  <si>
    <t>10102019</t>
  </si>
  <si>
    <t>24102019</t>
  </si>
  <si>
    <t>28102019</t>
  </si>
  <si>
    <t>test</t>
  </si>
  <si>
    <t>C:\Users\eugg_bc_3\Documents\Airline\SD\2020\May_29_181158\csvFiles\20200423-174205 2019-09-30_33aabca2389n1zh_176-9478051703_invoice_tnintk0919018931_9.pdf.csv</t>
  </si>
  <si>
    <t>C:\Users\eugg_bc_3\Documents\Airline\SD\2020\May_29_181158\Emirates\20200423-174205 2019-09-30_33aabca2389n1zh_176-9478051703_invoice_tnintk0919018931_9.pdf</t>
  </si>
  <si>
    <t>C:\Users\eugg_bc_3\Documents\Airline\SD\2020\May_29_181158\csvFiles\20200423-174205 2019-09-30_33aabca2389n1zh_176-9478051722_invoice_tnintk0919019159_10.pdf.csv</t>
  </si>
  <si>
    <t>C:\Users\eugg_bc_3\Documents\Airline\SD\2020\May_29_181158\Emirates\20200423-174205 2019-09-30_33aabca2389n1zh_176-9478051722_invoice_tnintk0919019159_10.pdf</t>
  </si>
  <si>
    <t>C:\Users\eugg_bc_3\Documents\Airline\SD\2020\May_29_181158\csvFiles\20200423-174205 2019-09-30_33aabca2389n1zh_176-9478051726_invoice_tnintk0919019160_11.pdf.csv</t>
  </si>
  <si>
    <t>C:\Users\eugg_bc_3\Documents\Airline\SD\2020\May_29_181158\Emirates\20200423-174205 2019-09-30_33aabca2389n1zh_176-9478051726_invoice_tnintk0919019160_11.pdf</t>
  </si>
  <si>
    <t>C:\Users\eugg_bc_3\Documents\Airline\SD\2020\May_29_181158\csvFiles\20200423-174205 2019-09-30_33aabca2389n1zh_176-9478051732_invoice_tnintk0919019161_12.pdf.csv</t>
  </si>
  <si>
    <t>C:\Users\eugg_bc_3\Documents\Airline\SD\2020\May_29_181158\Emirates\20200423-174205 2019-09-30_33aabca2389n1zh_176-9478051732_invoice_tnintk0919019161_12.pdf</t>
  </si>
  <si>
    <t>C:\Users\eugg_bc_3\Documents\Airline\SD\2020\May_29_181158\csvFiles\20200423-174205 2019-10-10_33aabca2389n1zh_176-9478408662_invoice_tnintk1019006376_13.pdf.csv</t>
  </si>
  <si>
    <t>C:\Users\eugg_bc_3\Documents\Airline\SD\2020\May_29_181158\Emirates\20200423-174205 2019-10-10_33aabca2389n1zh_176-9478408662_invoice_tnintk1019006376_13.pdf</t>
  </si>
  <si>
    <t>C:\Users\eugg_bc_3\Documents\Airline\SD\2020\May_29_181158\csvFiles\20200423-174205 2019-10-24_33aabca2389n1zh_176-9478845109_invoice_tnintk1019013465_14.pdf.csv</t>
  </si>
  <si>
    <t>C:\Users\eugg_bc_3\Documents\Airline\SD\2020\May_29_181158\Emirates\20200423-174205 2019-10-24_33aabca2389n1zh_176-9478845109_invoice_tnintk1019013465_14.pdf</t>
  </si>
  <si>
    <t>C:\Users\eugg_bc_3\Documents\Airline\SD\2020\May_29_181158\csvFiles\20200423-174205 2019-10-28_33aabca2389n1zh_176-9478845194_invoice_tnintk1019013416_15.pdf.csv</t>
  </si>
  <si>
    <t>C:\Users\eugg_bc_3\Documents\Airline\SD\2020\May_29_181158\Emirates\20200423-174205 2019-10-28_33aabca2389n1zh_176-9478845194_invoice_tnintk1019013416_15.pdf</t>
  </si>
  <si>
    <t>C:\Users\eugg_bc_3\Documents\Airline\SD\2020\May_29_181158\csvFiles\20200423-174205 2019-10-28_33aabca2389n1zh_176-9478845195_invoice_tnintk1019013297_8.pdf.csv</t>
  </si>
  <si>
    <t>C:\Users\eugg_bc_3\Documents\Airline\SD\2020\May_29_181158\Emirates\20200423-174205 2019-10-28_33aabca2389n1zh_176-9478845195_invoice_tnintk1019013297_8.pdf</t>
  </si>
  <si>
    <t>C:\Users\eugg_bc_3\Documents\Airline\SD\2020\May_29_181158\csvFiles\cx33-1920-043505_3.pdf.csv</t>
  </si>
  <si>
    <t>C:\Users\eugg_bc_3\Documents\Airline\SD\2020\May_29_181158\Cathay \cx33-1920-043505_3.pdf</t>
  </si>
  <si>
    <t>C:\Users\eugg_bc_3\Documents\Airline\SD\2020\May_29_181158\csvFiles\cx33-1920-048747_4.pdf.csv</t>
  </si>
  <si>
    <t>C:\Users\eugg_bc_3\Documents\Airline\SD\2020\May_29_181158\Cathay \cx33-1920-048747_4.pdf</t>
  </si>
  <si>
    <t>C:\Users\eugg_bc_3\Documents\Airline\SD\2020\May_29_181158\csvFiles\cx33-1920-048748_1.pdf.csv</t>
  </si>
  <si>
    <t>C:\Users\eugg_bc_3\Documents\Airline\SD\2020\May_29_181158\Cathay \cx33-1920-048748_1.pdf</t>
  </si>
  <si>
    <t>C:\Users\eugg_bc_3\Documents\Airline\SD\2020\May_29_181158\csvFiles\cx33-1920-048748_5.pdf.csv</t>
  </si>
  <si>
    <t>C:\Users\eugg_bc_3\Documents\Airline\SD\2020\May_29_181158\Cathay \cx33-1920-048748_5.pdf</t>
  </si>
  <si>
    <t>C:\Users\eugg_bc_3\Documents\Airline\SD\2020\May_29_181158\csvFiles\cx33-1920-050273_0.pdf.csv</t>
  </si>
  <si>
    <t>C:\Users\eugg_bc_3\Documents\Airline\SD\2020\May_29_181158\Cathay \cx33-1920-050273_0.pdf</t>
  </si>
  <si>
    <t>C:\Users\eugg_bc_3\Documents\Airline\SD\2020\May_29_181158\csvFiles\cx33-1920-050273_6.pdf.csv</t>
  </si>
  <si>
    <t>C:\Users\eugg_bc_3\Documents\Airline\SD\2020\May_29_181158\Cathay \cx33-1920-050273_6.pdf</t>
  </si>
  <si>
    <t>C:\Users\eugg_bc_3\Documents\Airline\SD\2020\May_29_181158\csvFiles\cx33-1920-050274_2.pdf.csv</t>
  </si>
  <si>
    <t>C:\Users\eugg_bc_3\Documents\Airline\SD\2020\May_29_181158\Cathay \cx33-1920-050274_2.pdf</t>
  </si>
  <si>
    <t>C:\Users\eugg_bc_3\Documents\Airline\SD\2020\May_29_181158\csvFiles\cx33-1920-050274_7.pdf.csv</t>
  </si>
  <si>
    <t>C:\Users\eugg_bc_3\Documents\Airline\SD\2020\May_29_181158\Cathay \cx33-1920-050274_7.pdf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</si>
</sst>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0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Trebuchet MS"/>
      <family val="2"/>
    </font>
    <font>
      <sz val="11"/>
      <color theme="1"/>
      <name val="Calibri"/>
      <family val="2"/>
      <charset val="128"/>
      <scheme val="minor"/>
    </font>
    <font>
      <sz val="10"/>
      <name val="Arial"/>
      <family val="2"/>
    </font>
    <font>
      <sz val="9"/>
      <name val="Trebuchet MS"/>
      <family val="2"/>
    </font>
    <font>
      <b/>
      <sz val="9"/>
      <name val="Trebuchet MS"/>
      <family val="2"/>
    </font>
    <font>
      <b/>
      <sz val="9"/>
      <color rgb="FFFF0000"/>
      <name val="Trebuchet MS"/>
      <family val="2"/>
    </font>
    <font>
      <sz val="9"/>
      <color indexed="9"/>
      <name val="Trebuchet MS"/>
      <family val="2"/>
    </font>
    <font>
      <b/>
      <sz val="9"/>
      <color indexed="10"/>
      <name val="Trebuchet MS"/>
      <family val="2"/>
    </font>
    <font>
      <sz val="9"/>
      <color indexed="48"/>
      <name val="Trebuchet MS"/>
      <family val="2"/>
    </font>
    <font>
      <b/>
      <i/>
      <sz val="9"/>
      <color indexed="48"/>
      <name val="Trebuchet MS"/>
      <family val="2"/>
    </font>
    <font>
      <sz val="9"/>
      <color rgb="FFFF0000"/>
      <name val="Trebuchet MS"/>
      <family val="2"/>
    </font>
    <font>
      <b/>
      <i/>
      <sz val="9"/>
      <color rgb="FFFF0000"/>
      <name val="Trebuchet MS"/>
      <family val="2"/>
    </font>
    <font>
      <b/>
      <i/>
      <sz val="9"/>
      <name val="Trebuchet MS"/>
      <family val="2"/>
    </font>
    <font>
      <sz val="9"/>
      <color indexed="10"/>
      <name val="Trebuchet MS"/>
      <family val="2"/>
    </font>
    <font>
      <sz val="11"/>
      <color rgb="FFFF6600"/>
      <name val="Calibri"/>
      <family val="2"/>
    </font>
    <font>
      <sz val="8"/>
      <color rgb="FF222222"/>
      <name val="Arial"/>
      <family val="2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1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9">
    <xf numFmtId="0" fontId="0" fillId="0" borderId="0"/>
    <xf numFmtId="0" fontId="4" fillId="0" borderId="0">
      <alignment vertical="center"/>
    </xf>
    <xf numFmtId="40" fontId="4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3" fillId="3" borderId="1" xfId="1" applyFont="1" applyFill="1" applyBorder="1" applyAlignment="1"/>
    <xf numFmtId="0" fontId="1" fillId="3" borderId="1" xfId="0" applyFont="1" applyFill="1" applyBorder="1"/>
    <xf numFmtId="0" fontId="6" fillId="4" borderId="0" xfId="3" applyFont="1" applyFill="1" applyBorder="1" applyProtection="1"/>
    <xf numFmtId="0" fontId="6" fillId="0" borderId="0" xfId="3" applyFont="1" applyBorder="1" applyProtection="1"/>
    <xf numFmtId="0" fontId="7" fillId="5" borderId="0" xfId="3" applyFont="1" applyFill="1" applyBorder="1" applyAlignment="1" applyProtection="1"/>
    <xf numFmtId="0" fontId="7" fillId="0" borderId="0" xfId="3" applyFont="1" applyFill="1" applyBorder="1" applyAlignment="1" applyProtection="1"/>
    <xf numFmtId="0" fontId="6" fillId="0" borderId="0" xfId="3" applyFont="1" applyFill="1" applyBorder="1" applyProtection="1"/>
    <xf numFmtId="0" fontId="6" fillId="4" borderId="0" xfId="4" applyFont="1" applyFill="1" applyAlignment="1" applyProtection="1">
      <alignment horizontal="left"/>
    </xf>
    <xf numFmtId="0" fontId="6" fillId="4" borderId="0" xfId="4" applyFont="1" applyFill="1" applyProtection="1"/>
    <xf numFmtId="0" fontId="6" fillId="0" borderId="0" xfId="4" applyFont="1" applyProtection="1"/>
    <xf numFmtId="0" fontId="6" fillId="0" borderId="0" xfId="4" applyFont="1" applyAlignment="1" applyProtection="1">
      <alignment horizontal="center" vertical="center" wrapText="1"/>
    </xf>
    <xf numFmtId="0" fontId="9" fillId="4" borderId="0" xfId="4" applyFont="1" applyFill="1" applyAlignment="1" applyProtection="1">
      <alignment horizontal="center" vertical="center" wrapText="1"/>
    </xf>
    <xf numFmtId="0" fontId="6" fillId="4" borderId="0" xfId="4" applyFont="1" applyFill="1" applyBorder="1" applyAlignment="1" applyProtection="1">
      <alignment horizontal="center" vertical="center"/>
    </xf>
    <xf numFmtId="0" fontId="6" fillId="4" borderId="1" xfId="4" applyFont="1" applyFill="1" applyBorder="1" applyAlignment="1" applyProtection="1">
      <alignment horizontal="center" vertical="center"/>
    </xf>
    <xf numFmtId="0" fontId="9" fillId="4" borderId="0" xfId="4" applyFont="1" applyFill="1" applyBorder="1" applyAlignment="1" applyProtection="1">
      <alignment horizontal="center" vertical="center"/>
      <protection locked="0"/>
    </xf>
    <xf numFmtId="0" fontId="9" fillId="4" borderId="0" xfId="4" applyFont="1" applyFill="1" applyAlignment="1" applyProtection="1">
      <alignment horizontal="center" vertical="center" wrapText="1"/>
      <protection locked="0"/>
    </xf>
    <xf numFmtId="0" fontId="6" fillId="0" borderId="0" xfId="4" applyFont="1" applyBorder="1" applyAlignment="1" applyProtection="1">
      <alignment horizontal="center" vertical="center"/>
    </xf>
    <xf numFmtId="0" fontId="11" fillId="0" borderId="0" xfId="4" applyFont="1" applyProtection="1"/>
    <xf numFmtId="0" fontId="11" fillId="4" borderId="0" xfId="4" applyFont="1" applyFill="1" applyProtection="1"/>
    <xf numFmtId="0" fontId="13" fillId="0" borderId="0" xfId="4" applyFont="1" applyProtection="1"/>
    <xf numFmtId="0" fontId="13" fillId="4" borderId="0" xfId="4" applyFont="1" applyFill="1" applyProtection="1"/>
    <xf numFmtId="0" fontId="6" fillId="0" borderId="0" xfId="5" applyFont="1" applyProtection="1"/>
    <xf numFmtId="0" fontId="15" fillId="8" borderId="2" xfId="5" applyFont="1" applyFill="1" applyBorder="1" applyProtection="1"/>
    <xf numFmtId="0" fontId="6" fillId="8" borderId="3" xfId="5" applyFont="1" applyFill="1" applyBorder="1" applyProtection="1"/>
    <xf numFmtId="2" fontId="16" fillId="8" borderId="3" xfId="5" applyNumberFormat="1" applyFont="1" applyFill="1" applyBorder="1" applyAlignment="1" applyProtection="1">
      <alignment horizontal="right"/>
    </xf>
    <xf numFmtId="0" fontId="16" fillId="8" borderId="3" xfId="5" applyFont="1" applyFill="1" applyBorder="1" applyProtection="1"/>
    <xf numFmtId="0" fontId="16" fillId="8" borderId="3" xfId="5" applyNumberFormat="1" applyFont="1" applyFill="1" applyBorder="1" applyProtection="1"/>
    <xf numFmtId="0" fontId="6" fillId="9" borderId="1" xfId="5" applyFont="1" applyFill="1" applyBorder="1" applyProtection="1"/>
    <xf numFmtId="0" fontId="6" fillId="10" borderId="1" xfId="5" applyFont="1" applyFill="1" applyBorder="1" applyProtection="1"/>
    <xf numFmtId="0" fontId="6" fillId="11" borderId="1" xfId="5" applyFont="1" applyFill="1" applyBorder="1" applyProtection="1"/>
    <xf numFmtId="0" fontId="6" fillId="8" borderId="1" xfId="5" applyFont="1" applyFill="1" applyBorder="1" applyProtection="1"/>
    <xf numFmtId="0" fontId="6" fillId="10" borderId="1" xfId="5" applyFont="1" applyFill="1" applyBorder="1" applyAlignment="1" applyProtection="1">
      <alignment horizontal="left"/>
    </xf>
    <xf numFmtId="2" fontId="6" fillId="8" borderId="1" xfId="5" applyNumberFormat="1" applyFont="1" applyFill="1" applyBorder="1" applyAlignment="1" applyProtection="1">
      <alignment horizontal="left"/>
    </xf>
    <xf numFmtId="0" fontId="6" fillId="11" borderId="1" xfId="5" applyFont="1" applyFill="1" applyBorder="1" applyAlignment="1" applyProtection="1">
      <alignment horizontal="left"/>
    </xf>
    <xf numFmtId="0" fontId="6" fillId="11" borderId="1" xfId="5" applyNumberFormat="1" applyFont="1" applyFill="1" applyBorder="1" applyAlignment="1" applyProtection="1">
      <alignment horizontal="left"/>
    </xf>
    <xf numFmtId="0" fontId="6" fillId="8" borderId="1" xfId="5" applyFont="1" applyFill="1" applyBorder="1" applyAlignment="1" applyProtection="1">
      <alignment horizontal="left"/>
    </xf>
    <xf numFmtId="0" fontId="6" fillId="9" borderId="6" xfId="5" applyFont="1" applyFill="1" applyBorder="1" applyAlignment="1" applyProtection="1">
      <alignment horizontal="left"/>
    </xf>
    <xf numFmtId="0" fontId="6" fillId="12" borderId="6" xfId="5" applyFont="1" applyFill="1" applyBorder="1" applyAlignment="1" applyProtection="1">
      <alignment horizontal="left"/>
    </xf>
    <xf numFmtId="0" fontId="6" fillId="11" borderId="6" xfId="5" applyFont="1" applyFill="1" applyBorder="1" applyAlignment="1" applyProtection="1">
      <alignment horizontal="left"/>
    </xf>
    <xf numFmtId="0" fontId="6" fillId="12" borderId="1" xfId="5" applyFont="1" applyFill="1" applyBorder="1" applyAlignment="1" applyProtection="1">
      <alignment horizontal="left"/>
    </xf>
    <xf numFmtId="2" fontId="3" fillId="3" borderId="1" xfId="1" applyNumberFormat="1" applyFont="1" applyFill="1" applyBorder="1" applyAlignment="1"/>
    <xf numFmtId="0" fontId="15" fillId="7" borderId="3" xfId="5" applyFont="1" applyFill="1" applyBorder="1" applyAlignment="1" applyProtection="1">
      <alignment horizontal="left"/>
    </xf>
    <xf numFmtId="0" fontId="15" fillId="7" borderId="4" xfId="5" applyFont="1" applyFill="1" applyBorder="1" applyAlignment="1" applyProtection="1">
      <alignment horizontal="left"/>
    </xf>
    <xf numFmtId="49" fontId="3" fillId="3" borderId="1" xfId="1" applyNumberFormat="1" applyFont="1" applyFill="1" applyBorder="1" applyAlignment="1"/>
    <xf numFmtId="49" fontId="0" fillId="0" borderId="0" xfId="0" applyNumberFormat="1"/>
    <xf numFmtId="49" fontId="0" fillId="0" borderId="0" xfId="0" quotePrefix="1" applyNumberFormat="1"/>
    <xf numFmtId="49" fontId="3" fillId="3" borderId="1" xfId="1" applyNumberFormat="1" applyFont="1" applyFill="1" applyBorder="1" applyAlignment="1">
      <alignment wrapText="1"/>
    </xf>
    <xf numFmtId="0" fontId="18" fillId="0" borderId="0" xfId="0" applyFont="1"/>
    <xf numFmtId="4" fontId="0" fillId="0" borderId="0" xfId="0" applyNumberFormat="1"/>
    <xf numFmtId="49" fontId="6" fillId="4" borderId="0" xfId="3" applyNumberFormat="1" applyFont="1" applyFill="1" applyBorder="1" applyAlignment="1" applyProtection="1">
      <alignment horizontal="left"/>
    </xf>
    <xf numFmtId="49" fontId="7" fillId="5" borderId="0" xfId="3" applyNumberFormat="1" applyFont="1" applyFill="1" applyBorder="1" applyAlignment="1" applyProtection="1">
      <alignment horizontal="left"/>
    </xf>
    <xf numFmtId="49" fontId="7" fillId="0" borderId="0" xfId="3" applyNumberFormat="1" applyFont="1" applyFill="1" applyBorder="1" applyAlignment="1" applyProtection="1">
      <alignment horizontal="left"/>
    </xf>
    <xf numFmtId="49" fontId="8" fillId="0" borderId="1" xfId="3" applyNumberFormat="1" applyFont="1" applyFill="1" applyBorder="1" applyAlignment="1" applyProtection="1">
      <alignment horizontal="left" vertical="center"/>
    </xf>
    <xf numFmtId="49" fontId="9" fillId="4" borderId="0" xfId="4" applyNumberFormat="1" applyFont="1" applyFill="1" applyAlignment="1" applyProtection="1">
      <alignment horizontal="left"/>
    </xf>
    <xf numFmtId="49" fontId="6" fillId="4" borderId="0" xfId="4" applyNumberFormat="1" applyFont="1" applyFill="1" applyBorder="1" applyAlignment="1" applyProtection="1">
      <alignment horizontal="left" vertical="center"/>
    </xf>
    <xf numFmtId="49" fontId="12" fillId="4" borderId="0" xfId="4" applyNumberFormat="1" applyFont="1" applyFill="1" applyAlignment="1" applyProtection="1">
      <alignment horizontal="left"/>
    </xf>
    <xf numFmtId="49" fontId="14" fillId="4" borderId="0" xfId="4" applyNumberFormat="1" applyFont="1" applyFill="1" applyAlignment="1" applyProtection="1">
      <alignment horizontal="left"/>
    </xf>
    <xf numFmtId="49" fontId="15" fillId="7" borderId="2" xfId="5" applyNumberFormat="1" applyFont="1" applyFill="1" applyBorder="1" applyAlignment="1" applyProtection="1">
      <alignment horizontal="left"/>
    </xf>
    <xf numFmtId="49" fontId="6" fillId="9" borderId="1" xfId="5" applyNumberFormat="1" applyFont="1" applyFill="1" applyBorder="1" applyAlignment="1" applyProtection="1">
      <alignment horizontal="left"/>
    </xf>
    <xf numFmtId="49" fontId="6" fillId="9" borderId="6" xfId="5" applyNumberFormat="1" applyFont="1" applyFill="1" applyBorder="1" applyAlignment="1" applyProtection="1">
      <alignment horizontal="left"/>
    </xf>
    <xf numFmtId="49" fontId="0" fillId="0" borderId="0" xfId="0" applyNumberFormat="1" applyAlignment="1">
      <alignment horizontal="left"/>
    </xf>
    <xf numFmtId="49" fontId="6" fillId="4" borderId="0" xfId="3" applyNumberFormat="1" applyFont="1" applyFill="1" applyBorder="1" applyProtection="1"/>
    <xf numFmtId="49" fontId="7" fillId="5" borderId="0" xfId="3" applyNumberFormat="1" applyFont="1" applyFill="1" applyBorder="1" applyAlignment="1" applyProtection="1"/>
    <xf numFmtId="49" fontId="7" fillId="0" borderId="0" xfId="3" applyNumberFormat="1" applyFont="1" applyFill="1" applyBorder="1" applyAlignment="1" applyProtection="1"/>
    <xf numFmtId="49" fontId="6" fillId="4" borderId="0" xfId="4" applyNumberFormat="1" applyFont="1" applyFill="1" applyAlignment="1" applyProtection="1">
      <alignment horizontal="left"/>
    </xf>
    <xf numFmtId="49" fontId="6" fillId="4" borderId="0" xfId="4" applyNumberFormat="1" applyFont="1" applyFill="1" applyBorder="1" applyAlignment="1" applyProtection="1">
      <alignment horizontal="center" vertical="center"/>
    </xf>
    <xf numFmtId="49" fontId="11" fillId="4" borderId="0" xfId="4" applyNumberFormat="1" applyFont="1" applyFill="1" applyProtection="1"/>
    <xf numFmtId="49" fontId="13" fillId="4" borderId="0" xfId="4" applyNumberFormat="1" applyFont="1" applyFill="1" applyProtection="1"/>
    <xf numFmtId="49" fontId="15" fillId="7" borderId="3" xfId="5" applyNumberFormat="1" applyFont="1" applyFill="1" applyBorder="1" applyAlignment="1" applyProtection="1">
      <alignment horizontal="left"/>
    </xf>
    <xf numFmtId="49" fontId="6" fillId="9" borderId="1" xfId="5" applyNumberFormat="1" applyFont="1" applyFill="1" applyBorder="1" applyProtection="1"/>
    <xf numFmtId="0" fontId="2" fillId="0" borderId="0" xfId="8"/>
    <xf numFmtId="49" fontId="3" fillId="3" borderId="1" xfId="1" applyNumberFormat="1" applyFont="1" applyFill="1" applyBorder="1" applyAlignment="1">
      <alignment horizontal="left"/>
    </xf>
    <xf numFmtId="0" fontId="0" fillId="0" borderId="0" xfId="0" applyFill="1"/>
    <xf numFmtId="49" fontId="19" fillId="0" borderId="0" xfId="0" applyNumberFormat="1" applyFont="1" applyFill="1"/>
    <xf numFmtId="49" fontId="0" fillId="0" borderId="0" xfId="0" applyNumberFormat="1" applyFill="1"/>
    <xf numFmtId="0" fontId="6" fillId="4" borderId="1" xfId="4" applyFont="1" applyFill="1" applyBorder="1" applyAlignment="1" applyProtection="1">
      <alignment horizontal="left" vertical="top" wrapText="1"/>
      <protection locked="0"/>
    </xf>
    <xf numFmtId="0" fontId="16" fillId="8" borderId="3" xfId="5" applyFont="1" applyFill="1" applyBorder="1" applyAlignment="1" applyProtection="1">
      <alignment horizontal="center"/>
    </xf>
    <xf numFmtId="0" fontId="16" fillId="8" borderId="4" xfId="5" applyFont="1" applyFill="1" applyBorder="1" applyAlignment="1" applyProtection="1">
      <alignment horizontal="center"/>
    </xf>
    <xf numFmtId="0" fontId="6" fillId="9" borderId="6" xfId="5" applyFont="1" applyFill="1" applyBorder="1" applyAlignment="1" applyProtection="1">
      <alignment horizontal="center" vertical="center"/>
    </xf>
    <xf numFmtId="0" fontId="6" fillId="9" borderId="7" xfId="5" applyFont="1" applyFill="1" applyBorder="1" applyAlignment="1" applyProtection="1">
      <alignment horizontal="center" vertical="center"/>
    </xf>
    <xf numFmtId="0" fontId="9" fillId="4" borderId="5" xfId="4" applyFont="1" applyFill="1" applyBorder="1" applyAlignment="1" applyProtection="1">
      <alignment horizontal="center" vertical="center" wrapText="1"/>
      <protection locked="0"/>
    </xf>
    <xf numFmtId="0" fontId="9" fillId="4" borderId="0" xfId="4" applyFont="1" applyFill="1" applyBorder="1" applyAlignment="1" applyProtection="1">
      <alignment horizontal="center" vertical="center" wrapText="1"/>
      <protection locked="0"/>
    </xf>
    <xf numFmtId="0" fontId="9" fillId="4" borderId="0" xfId="4" quotePrefix="1" applyFont="1" applyFill="1" applyBorder="1" applyAlignment="1" applyProtection="1">
      <alignment horizontal="center" vertical="center"/>
      <protection locked="0"/>
    </xf>
    <xf numFmtId="0" fontId="9" fillId="4" borderId="0" xfId="4" applyFont="1" applyFill="1" applyBorder="1" applyAlignment="1" applyProtection="1">
      <alignment horizontal="center" vertical="center"/>
      <protection locked="0"/>
    </xf>
    <xf numFmtId="0" fontId="9" fillId="4" borderId="0" xfId="4" applyFont="1" applyFill="1" applyBorder="1" applyAlignment="1" applyProtection="1">
      <alignment horizontal="left" vertical="top" wrapText="1"/>
      <protection locked="0"/>
    </xf>
    <xf numFmtId="0" fontId="9" fillId="4" borderId="0" xfId="4" applyFont="1" applyFill="1" applyBorder="1" applyAlignment="1" applyProtection="1">
      <alignment horizontal="center" vertical="top" wrapText="1"/>
      <protection locked="0"/>
    </xf>
    <xf numFmtId="0" fontId="9" fillId="4" borderId="5" xfId="4" quotePrefix="1" applyFont="1" applyFill="1" applyBorder="1" applyAlignment="1" applyProtection="1">
      <alignment horizontal="center" vertical="center" wrapText="1"/>
      <protection locked="0"/>
    </xf>
    <xf numFmtId="0" fontId="9" fillId="4" borderId="5" xfId="4" applyFont="1" applyFill="1" applyBorder="1" applyAlignment="1" applyProtection="1">
      <alignment horizontal="center" vertical="center" wrapText="1"/>
    </xf>
    <xf numFmtId="0" fontId="9" fillId="4" borderId="0" xfId="4" applyFont="1" applyFill="1" applyBorder="1" applyAlignment="1" applyProtection="1">
      <alignment horizontal="center" vertical="center" wrapText="1"/>
    </xf>
    <xf numFmtId="0" fontId="9" fillId="4" borderId="0" xfId="4" applyFont="1" applyFill="1" applyAlignment="1" applyProtection="1">
      <alignment horizontal="center" vertical="center" wrapText="1"/>
    </xf>
    <xf numFmtId="0" fontId="7" fillId="4" borderId="1" xfId="4" applyFont="1" applyFill="1" applyBorder="1" applyAlignment="1" applyProtection="1">
      <alignment horizontal="center" vertical="center" wrapText="1"/>
    </xf>
    <xf numFmtId="0" fontId="7" fillId="6" borderId="2" xfId="3" applyFont="1" applyFill="1" applyBorder="1" applyAlignment="1" applyProtection="1">
      <alignment horizontal="left" vertical="center"/>
    </xf>
    <xf numFmtId="0" fontId="7" fillId="6" borderId="3" xfId="3" applyFont="1" applyFill="1" applyBorder="1" applyAlignment="1" applyProtection="1">
      <alignment horizontal="left" vertical="center"/>
    </xf>
    <xf numFmtId="0" fontId="7" fillId="6" borderId="4" xfId="3" applyFont="1" applyFill="1" applyBorder="1" applyAlignment="1" applyProtection="1">
      <alignment horizontal="left" vertical="center"/>
    </xf>
    <xf numFmtId="49" fontId="10" fillId="4" borderId="1" xfId="4" applyNumberFormat="1" applyFont="1" applyFill="1" applyBorder="1" applyAlignment="1" applyProtection="1">
      <alignment horizontal="left" vertical="center" wrapText="1"/>
    </xf>
    <xf numFmtId="0" fontId="6" fillId="4" borderId="5" xfId="4" applyFont="1" applyFill="1" applyBorder="1" applyAlignment="1" applyProtection="1">
      <alignment horizontal="center" vertical="center"/>
    </xf>
    <xf numFmtId="0" fontId="6" fillId="4" borderId="0" xfId="4" applyFont="1" applyFill="1" applyBorder="1" applyAlignment="1" applyProtection="1">
      <alignment horizontal="center" vertical="center"/>
    </xf>
    <xf numFmtId="0" fontId="6" fillId="4" borderId="8" xfId="4" applyFont="1" applyFill="1" applyBorder="1" applyAlignment="1" applyProtection="1">
      <alignment horizontal="center" vertical="center"/>
    </xf>
  </cellXfs>
  <cellStyles count="9">
    <cellStyle name="Comma 2" xfId="2" xr:uid="{7A3E7D1E-EE11-4830-8E7E-CB8ED7D1EC57}"/>
    <cellStyle name="Comma 2 2" xfId="7" xr:uid="{BEB26EED-6626-4BC3-BBF7-F48015EEEFBD}"/>
    <cellStyle name="Hyperlink" xfId="8" builtinId="8"/>
    <cellStyle name="Normal" xfId="0" builtinId="0"/>
    <cellStyle name="Normal 2" xfId="1" xr:uid="{F89A6AE9-C443-4B40-B019-3A804C54DD9B}"/>
    <cellStyle name="Normal 2 2" xfId="5" xr:uid="{04EFE31E-25AE-40F1-8040-BD54CDAF811D}"/>
    <cellStyle name="Normal 2 3 2 2" xfId="6" xr:uid="{74642949-184B-43C0-B654-A73BCDC6BE3D}"/>
    <cellStyle name="Normal_Internal Order Master Data Maintenance Form_MassData" xfId="3" xr:uid="{9168444F-0E4C-4E38-8FA8-062DA22C49E7}"/>
    <cellStyle name="Normal_ZVN Dec07-new" xfId="4" xr:uid="{48632602-15E2-4F7A-A626-9D03B1FB46AE}"/>
  </cellStyles>
  <dxfs count="3">
    <dxf>
      <font>
        <b/>
        <i val="0"/>
        <condense val="0"/>
        <extend val="0"/>
        <color indexed="8"/>
      </font>
      <fill>
        <patternFill>
          <bgColor indexed="9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8"/>
      </font>
      <fill>
        <patternFill>
          <bgColor indexed="9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8"/>
      </font>
      <fill>
        <patternFill>
          <bgColor indexed="9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</xdr:colOff>
      <xdr:row>0</xdr:row>
      <xdr:rowOff>28575</xdr:rowOff>
    </xdr:from>
    <xdr:ext cx="1097280" cy="307004"/>
    <xdr:pic>
      <xdr:nvPicPr>
        <xdr:cNvPr id="2" name="Picture 4" descr=" AZ Log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775" y="28575"/>
          <a:ext cx="1097280" cy="3070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571500</xdr:colOff>
          <xdr:row>6</xdr:row>
          <xdr:rowOff>12700</xdr:rowOff>
        </xdr:from>
        <xdr:to>
          <xdr:col>10</xdr:col>
          <xdr:colOff>368300</xdr:colOff>
          <xdr:row>7</xdr:row>
          <xdr:rowOff>215900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Generate MJV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zbp117\Box%20Sync\AZ%20Robotic%20&amp;%20Cognitive%20Centre%20-%20Delivery\02%20Phase%202%20Onwards\Finance\239%20-%20GST%20Rebate%20Claim%20and%20Processing\02.%20Plan%20Phase\JV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gstin.lufthansa@ssiip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9F556-98CB-4524-9DAC-EE5E7B1029E9}">
  <sheetPr codeName="Sheet6"/>
  <dimension ref="A1:X561"/>
  <sheetViews>
    <sheetView topLeftCell="A39" workbookViewId="0">
      <selection activeCell="B1" sqref="B1:B1048576"/>
    </sheetView>
  </sheetViews>
  <sheetFormatPr defaultRowHeight="14.5" outlineLevelRow="1"/>
  <cols>
    <col min="2" max="2" width="17.36328125" style="63" customWidth="1"/>
    <col min="5" max="5" width="24" style="47" customWidth="1"/>
    <col min="10" max="10" width="15.26953125" customWidth="1"/>
    <col min="16" max="16" width="16.7265625" customWidth="1"/>
  </cols>
  <sheetData>
    <row r="1" spans="2:24" s="6" customFormat="1" ht="12">
      <c r="B1" s="52"/>
      <c r="C1" s="5"/>
      <c r="D1" s="5"/>
      <c r="E1" s="64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2:24" s="6" customFormat="1" ht="12">
      <c r="B2" s="52"/>
      <c r="C2" s="5"/>
      <c r="D2" s="5"/>
      <c r="E2" s="64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2:24" s="6" customFormat="1" ht="12">
      <c r="B3" s="53" t="s">
        <v>71</v>
      </c>
      <c r="C3" s="7"/>
      <c r="D3" s="7"/>
      <c r="E3" s="65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</row>
    <row r="4" spans="2:24" s="9" customFormat="1" ht="12">
      <c r="B4" s="54"/>
      <c r="C4" s="8"/>
      <c r="D4" s="8"/>
      <c r="E4" s="66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</row>
    <row r="5" spans="2:24" s="9" customFormat="1" ht="12">
      <c r="B5" s="55" t="s">
        <v>72</v>
      </c>
      <c r="C5" s="94" t="s">
        <v>73</v>
      </c>
      <c r="D5" s="95"/>
      <c r="E5" s="96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</row>
    <row r="6" spans="2:24" s="9" customFormat="1" ht="12">
      <c r="B6" s="55" t="s">
        <v>74</v>
      </c>
      <c r="C6" s="94" t="s">
        <v>75</v>
      </c>
      <c r="D6" s="95"/>
      <c r="E6" s="96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</row>
    <row r="7" spans="2:24" s="12" customFormat="1" ht="12.75" customHeight="1">
      <c r="B7" s="56"/>
      <c r="C7" s="10"/>
      <c r="D7" s="10"/>
      <c r="E7" s="67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</row>
    <row r="8" spans="2:24" s="13" customFormat="1" ht="22.5" customHeight="1">
      <c r="B8" s="97" t="s">
        <v>76</v>
      </c>
      <c r="C8" s="98"/>
      <c r="D8" s="99"/>
      <c r="E8" s="100"/>
      <c r="F8" s="93" t="s">
        <v>77</v>
      </c>
      <c r="G8" s="93" t="s">
        <v>78</v>
      </c>
      <c r="H8" s="93"/>
      <c r="I8" s="93"/>
      <c r="J8" s="93"/>
      <c r="K8" s="90" t="s">
        <v>79</v>
      </c>
      <c r="L8" s="91"/>
      <c r="M8" s="91"/>
      <c r="N8" s="92" t="s">
        <v>80</v>
      </c>
      <c r="O8" s="92"/>
      <c r="P8" s="92"/>
      <c r="Q8" s="92" t="s">
        <v>81</v>
      </c>
      <c r="R8" s="92"/>
      <c r="S8" s="92" t="s">
        <v>82</v>
      </c>
      <c r="T8" s="92"/>
      <c r="U8" s="92"/>
      <c r="V8" s="91" t="s">
        <v>83</v>
      </c>
      <c r="W8" s="91"/>
    </row>
    <row r="9" spans="2:24" s="13" customFormat="1" ht="11.25" customHeight="1">
      <c r="B9" s="97"/>
      <c r="C9" s="98"/>
      <c r="D9" s="99"/>
      <c r="E9" s="100"/>
      <c r="F9" s="93"/>
      <c r="G9" s="93"/>
      <c r="H9" s="93"/>
      <c r="I9" s="93"/>
      <c r="J9" s="93"/>
      <c r="K9" s="90" t="s">
        <v>84</v>
      </c>
      <c r="L9" s="91"/>
      <c r="M9" s="91"/>
      <c r="N9" s="92" t="s">
        <v>85</v>
      </c>
      <c r="O9" s="92"/>
      <c r="P9" s="14" t="s">
        <v>86</v>
      </c>
      <c r="Q9" s="92"/>
      <c r="R9" s="92"/>
      <c r="S9" s="92" t="s">
        <v>87</v>
      </c>
      <c r="T9" s="92"/>
      <c r="U9" s="14" t="s">
        <v>88</v>
      </c>
      <c r="V9" s="91"/>
      <c r="W9" s="91"/>
    </row>
    <row r="10" spans="2:24" s="19" customFormat="1" ht="11.25" customHeight="1">
      <c r="B10" s="57"/>
      <c r="C10" s="15"/>
      <c r="D10" s="15"/>
      <c r="E10" s="68"/>
      <c r="F10" s="16"/>
      <c r="G10" s="78"/>
      <c r="H10" s="78"/>
      <c r="I10" s="78"/>
      <c r="J10" s="78"/>
      <c r="K10" s="89"/>
      <c r="L10" s="84"/>
      <c r="M10" s="84"/>
      <c r="N10" s="85"/>
      <c r="O10" s="86"/>
      <c r="P10" s="17"/>
      <c r="Q10" s="87"/>
      <c r="R10" s="87"/>
      <c r="S10" s="86" t="s">
        <v>89</v>
      </c>
      <c r="T10" s="86"/>
      <c r="U10" s="18" t="s">
        <v>90</v>
      </c>
      <c r="V10" s="88"/>
      <c r="W10" s="88"/>
    </row>
    <row r="11" spans="2:24" s="19" customFormat="1" ht="11.25" customHeight="1">
      <c r="B11" s="57"/>
      <c r="C11" s="15"/>
      <c r="D11" s="15"/>
      <c r="E11" s="68"/>
      <c r="F11" s="16"/>
      <c r="G11" s="78"/>
      <c r="H11" s="78"/>
      <c r="I11" s="78"/>
      <c r="J11" s="78"/>
      <c r="K11" s="89"/>
      <c r="L11" s="84"/>
      <c r="M11" s="84"/>
      <c r="N11" s="85"/>
      <c r="O11" s="86"/>
      <c r="P11" s="17"/>
      <c r="Q11" s="87"/>
      <c r="R11" s="87"/>
      <c r="S11" s="86" t="s">
        <v>89</v>
      </c>
      <c r="T11" s="86"/>
      <c r="U11" s="18" t="s">
        <v>90</v>
      </c>
      <c r="V11" s="88"/>
      <c r="W11" s="88"/>
    </row>
    <row r="12" spans="2:24" s="19" customFormat="1" ht="11.25" customHeight="1">
      <c r="B12" s="57"/>
      <c r="C12" s="15"/>
      <c r="D12" s="15"/>
      <c r="E12" s="68"/>
      <c r="F12" s="16"/>
      <c r="G12" s="78"/>
      <c r="H12" s="78"/>
      <c r="I12" s="78"/>
      <c r="J12" s="78"/>
      <c r="K12" s="89"/>
      <c r="L12" s="84"/>
      <c r="M12" s="84"/>
      <c r="N12" s="85"/>
      <c r="O12" s="86"/>
      <c r="P12" s="17"/>
      <c r="Q12" s="87"/>
      <c r="R12" s="87"/>
      <c r="S12" s="86" t="s">
        <v>89</v>
      </c>
      <c r="T12" s="86"/>
      <c r="U12" s="18" t="s">
        <v>90</v>
      </c>
      <c r="V12" s="88"/>
      <c r="W12" s="88"/>
    </row>
    <row r="13" spans="2:24" s="19" customFormat="1" ht="11.25" hidden="1" customHeight="1" outlineLevel="1">
      <c r="B13" s="57"/>
      <c r="C13" s="15"/>
      <c r="D13" s="15"/>
      <c r="E13" s="68"/>
      <c r="F13" s="16"/>
      <c r="G13" s="78"/>
      <c r="H13" s="78"/>
      <c r="I13" s="78"/>
      <c r="J13" s="78"/>
      <c r="K13" s="83" t="s">
        <v>90</v>
      </c>
      <c r="L13" s="84"/>
      <c r="M13" s="84"/>
      <c r="N13" s="85"/>
      <c r="O13" s="86"/>
      <c r="P13" s="17"/>
      <c r="Q13" s="87"/>
      <c r="R13" s="87"/>
      <c r="S13" s="86" t="s">
        <v>89</v>
      </c>
      <c r="T13" s="86"/>
      <c r="U13" s="18" t="s">
        <v>90</v>
      </c>
      <c r="V13" s="88"/>
      <c r="W13" s="88"/>
    </row>
    <row r="14" spans="2:24" s="19" customFormat="1" ht="11.25" hidden="1" customHeight="1" outlineLevel="1">
      <c r="B14" s="57"/>
      <c r="C14" s="15"/>
      <c r="D14" s="15"/>
      <c r="E14" s="68"/>
      <c r="F14" s="16"/>
      <c r="G14" s="78"/>
      <c r="H14" s="78"/>
      <c r="I14" s="78"/>
      <c r="J14" s="78"/>
      <c r="K14" s="83" t="s">
        <v>90</v>
      </c>
      <c r="L14" s="84"/>
      <c r="M14" s="84"/>
      <c r="N14" s="85"/>
      <c r="O14" s="86"/>
      <c r="P14" s="17"/>
      <c r="Q14" s="87"/>
      <c r="R14" s="87"/>
      <c r="S14" s="86" t="s">
        <v>89</v>
      </c>
      <c r="T14" s="86"/>
      <c r="U14" s="18" t="s">
        <v>90</v>
      </c>
      <c r="V14" s="88"/>
      <c r="W14" s="88"/>
    </row>
    <row r="15" spans="2:24" s="19" customFormat="1" ht="11.25" hidden="1" customHeight="1" outlineLevel="1">
      <c r="B15" s="57"/>
      <c r="C15" s="15"/>
      <c r="D15" s="15"/>
      <c r="E15" s="68"/>
      <c r="F15" s="16"/>
      <c r="G15" s="78"/>
      <c r="H15" s="78"/>
      <c r="I15" s="78"/>
      <c r="J15" s="78"/>
      <c r="K15" s="83" t="s">
        <v>90</v>
      </c>
      <c r="L15" s="84"/>
      <c r="M15" s="84"/>
      <c r="N15" s="85"/>
      <c r="O15" s="86"/>
      <c r="P15" s="17"/>
      <c r="Q15" s="87"/>
      <c r="R15" s="87"/>
      <c r="S15" s="86" t="s">
        <v>89</v>
      </c>
      <c r="T15" s="86"/>
      <c r="U15" s="18" t="s">
        <v>90</v>
      </c>
      <c r="V15" s="88"/>
      <c r="W15" s="88"/>
    </row>
    <row r="16" spans="2:24" s="19" customFormat="1" ht="11.25" hidden="1" customHeight="1" outlineLevel="1">
      <c r="B16" s="57"/>
      <c r="C16" s="15"/>
      <c r="D16" s="15"/>
      <c r="E16" s="68"/>
      <c r="F16" s="16"/>
      <c r="G16" s="78"/>
      <c r="H16" s="78"/>
      <c r="I16" s="78"/>
      <c r="J16" s="78"/>
      <c r="K16" s="83" t="s">
        <v>90</v>
      </c>
      <c r="L16" s="84"/>
      <c r="M16" s="84"/>
      <c r="N16" s="85"/>
      <c r="O16" s="86"/>
      <c r="P16" s="17"/>
      <c r="Q16" s="87"/>
      <c r="R16" s="87"/>
      <c r="S16" s="86" t="s">
        <v>89</v>
      </c>
      <c r="T16" s="86"/>
      <c r="U16" s="18" t="s">
        <v>90</v>
      </c>
      <c r="V16" s="88"/>
      <c r="W16" s="88"/>
    </row>
    <row r="17" spans="1:24" s="19" customFormat="1" ht="11.25" hidden="1" customHeight="1" outlineLevel="1">
      <c r="B17" s="57"/>
      <c r="C17" s="15"/>
      <c r="D17" s="15"/>
      <c r="E17" s="68"/>
      <c r="F17" s="16"/>
      <c r="G17" s="78"/>
      <c r="H17" s="78"/>
      <c r="I17" s="78"/>
      <c r="J17" s="78"/>
      <c r="K17" s="83" t="s">
        <v>90</v>
      </c>
      <c r="L17" s="84"/>
      <c r="M17" s="84"/>
      <c r="N17" s="85"/>
      <c r="O17" s="86"/>
      <c r="P17" s="17"/>
      <c r="Q17" s="87"/>
      <c r="R17" s="87"/>
      <c r="S17" s="86" t="s">
        <v>89</v>
      </c>
      <c r="T17" s="86"/>
      <c r="U17" s="18" t="s">
        <v>90</v>
      </c>
      <c r="V17" s="88"/>
      <c r="W17" s="88"/>
    </row>
    <row r="18" spans="1:24" s="19" customFormat="1" ht="11.25" hidden="1" customHeight="1" outlineLevel="1">
      <c r="B18" s="57"/>
      <c r="C18" s="15"/>
      <c r="D18" s="15"/>
      <c r="E18" s="68"/>
      <c r="F18" s="16"/>
      <c r="G18" s="78"/>
      <c r="H18" s="78"/>
      <c r="I18" s="78"/>
      <c r="J18" s="78"/>
      <c r="K18" s="83" t="s">
        <v>90</v>
      </c>
      <c r="L18" s="84"/>
      <c r="M18" s="84"/>
      <c r="N18" s="85"/>
      <c r="O18" s="86"/>
      <c r="P18" s="17"/>
      <c r="Q18" s="87"/>
      <c r="R18" s="87"/>
      <c r="S18" s="86" t="s">
        <v>89</v>
      </c>
      <c r="T18" s="86"/>
      <c r="U18" s="18" t="s">
        <v>90</v>
      </c>
      <c r="V18" s="88"/>
      <c r="W18" s="88"/>
    </row>
    <row r="19" spans="1:24" s="19" customFormat="1" ht="11.25" hidden="1" customHeight="1" outlineLevel="1">
      <c r="B19" s="57"/>
      <c r="C19" s="15"/>
      <c r="D19" s="15"/>
      <c r="E19" s="68"/>
      <c r="F19" s="16"/>
      <c r="G19" s="78"/>
      <c r="H19" s="78"/>
      <c r="I19" s="78"/>
      <c r="J19" s="78"/>
      <c r="K19" s="83" t="s">
        <v>90</v>
      </c>
      <c r="L19" s="84"/>
      <c r="M19" s="84"/>
      <c r="N19" s="85"/>
      <c r="O19" s="86"/>
      <c r="P19" s="17"/>
      <c r="Q19" s="87"/>
      <c r="R19" s="87"/>
      <c r="S19" s="86" t="s">
        <v>89</v>
      </c>
      <c r="T19" s="86"/>
      <c r="U19" s="18" t="s">
        <v>90</v>
      </c>
      <c r="V19" s="88"/>
      <c r="W19" s="88"/>
    </row>
    <row r="20" spans="1:24" s="20" customFormat="1" ht="12" collapsed="1">
      <c r="B20" s="58" t="s">
        <v>91</v>
      </c>
      <c r="C20" s="21"/>
      <c r="D20" s="21"/>
      <c r="E20" s="69"/>
      <c r="F20" s="16"/>
      <c r="G20" s="78"/>
      <c r="H20" s="78"/>
      <c r="I20" s="78"/>
      <c r="J20" s="78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</row>
    <row r="21" spans="1:24" s="22" customFormat="1" ht="12">
      <c r="B21" s="59" t="s">
        <v>92</v>
      </c>
      <c r="C21" s="23" t="s">
        <v>93</v>
      </c>
      <c r="D21" s="23" t="s">
        <v>94</v>
      </c>
      <c r="E21" s="70" t="s">
        <v>95</v>
      </c>
      <c r="F21" s="23" t="s">
        <v>94</v>
      </c>
      <c r="G21" s="23" t="s">
        <v>94</v>
      </c>
      <c r="H21" s="23" t="s">
        <v>94</v>
      </c>
      <c r="I21" s="23"/>
      <c r="J21" s="23" t="s">
        <v>94</v>
      </c>
      <c r="K21" s="23" t="s">
        <v>94</v>
      </c>
      <c r="L21" s="23" t="s">
        <v>96</v>
      </c>
      <c r="M21" s="23" t="s">
        <v>97</v>
      </c>
      <c r="N21" s="23"/>
      <c r="O21" s="23"/>
      <c r="P21" s="23" t="s">
        <v>94</v>
      </c>
      <c r="Q21" s="23"/>
      <c r="R21" s="23"/>
      <c r="S21" s="23"/>
      <c r="T21" s="23"/>
      <c r="U21" s="23"/>
      <c r="V21" s="23"/>
      <c r="W21" s="23" t="s">
        <v>98</v>
      </c>
    </row>
    <row r="22" spans="1:24" s="24" customFormat="1" ht="12">
      <c r="B22" s="60" t="s">
        <v>99</v>
      </c>
      <c r="C22" s="44"/>
      <c r="D22" s="44"/>
      <c r="E22" s="71"/>
      <c r="F22" s="45"/>
      <c r="G22" s="25" t="s">
        <v>100</v>
      </c>
      <c r="H22" s="26"/>
      <c r="I22" s="26"/>
      <c r="J22" s="26"/>
      <c r="K22" s="26"/>
      <c r="L22" s="27"/>
      <c r="M22" s="27"/>
      <c r="N22" s="28"/>
      <c r="O22" s="28"/>
      <c r="P22" s="28"/>
      <c r="Q22" s="29"/>
      <c r="R22" s="29"/>
      <c r="S22" s="28"/>
      <c r="T22" s="28"/>
      <c r="U22" s="28"/>
      <c r="V22" s="28"/>
      <c r="W22" s="79"/>
      <c r="X22" s="80"/>
    </row>
    <row r="23" spans="1:24" s="24" customFormat="1" ht="12">
      <c r="A23" s="81" t="s">
        <v>101</v>
      </c>
      <c r="B23" s="61" t="s">
        <v>102</v>
      </c>
      <c r="C23" s="30" t="s">
        <v>103</v>
      </c>
      <c r="D23" s="30" t="s">
        <v>104</v>
      </c>
      <c r="E23" s="72" t="s">
        <v>105</v>
      </c>
      <c r="F23" s="30" t="s">
        <v>106</v>
      </c>
      <c r="G23" s="31" t="s">
        <v>107</v>
      </c>
      <c r="H23" s="31" t="s">
        <v>108</v>
      </c>
      <c r="I23" s="32" t="s">
        <v>109</v>
      </c>
      <c r="J23" s="31" t="s">
        <v>110</v>
      </c>
      <c r="K23" s="33" t="s">
        <v>111</v>
      </c>
      <c r="L23" s="34" t="s">
        <v>112</v>
      </c>
      <c r="M23" s="35" t="s">
        <v>113</v>
      </c>
      <c r="N23" s="36" t="s">
        <v>114</v>
      </c>
      <c r="O23" s="36" t="s">
        <v>115</v>
      </c>
      <c r="P23" s="34" t="s">
        <v>116</v>
      </c>
      <c r="Q23" s="37" t="s">
        <v>117</v>
      </c>
      <c r="R23" s="37" t="s">
        <v>118</v>
      </c>
      <c r="S23" s="36" t="s">
        <v>119</v>
      </c>
      <c r="T23" s="36" t="s">
        <v>120</v>
      </c>
      <c r="U23" s="36" t="s">
        <v>121</v>
      </c>
      <c r="V23" s="36" t="s">
        <v>122</v>
      </c>
      <c r="W23" s="34" t="s">
        <v>123</v>
      </c>
      <c r="X23" s="38" t="s">
        <v>124</v>
      </c>
    </row>
    <row r="24" spans="1:24" s="24" customFormat="1" ht="12">
      <c r="A24" s="82"/>
      <c r="B24" s="62">
        <v>8</v>
      </c>
      <c r="C24" s="39">
        <v>8</v>
      </c>
      <c r="D24" s="39">
        <v>16</v>
      </c>
      <c r="E24" s="62">
        <v>25</v>
      </c>
      <c r="F24" s="39">
        <v>4</v>
      </c>
      <c r="G24" s="40"/>
      <c r="H24" s="40">
        <v>2</v>
      </c>
      <c r="I24" s="41">
        <v>1</v>
      </c>
      <c r="J24" s="40">
        <v>10</v>
      </c>
      <c r="K24" s="40">
        <v>4</v>
      </c>
      <c r="L24" s="40" t="s">
        <v>125</v>
      </c>
      <c r="M24" s="40" t="s">
        <v>125</v>
      </c>
      <c r="N24" s="41">
        <v>2</v>
      </c>
      <c r="O24" s="41" t="s">
        <v>125</v>
      </c>
      <c r="P24" s="40">
        <v>10</v>
      </c>
      <c r="Q24" s="37">
        <v>12</v>
      </c>
      <c r="R24" s="37">
        <v>4</v>
      </c>
      <c r="S24" s="36">
        <v>4</v>
      </c>
      <c r="T24" s="36">
        <v>8</v>
      </c>
      <c r="U24" s="36">
        <v>18</v>
      </c>
      <c r="V24" s="36">
        <v>18</v>
      </c>
      <c r="W24" s="42">
        <v>50</v>
      </c>
      <c r="X24" s="42">
        <v>24</v>
      </c>
    </row>
    <row r="25" spans="1:24">
      <c r="B25" s="47"/>
      <c r="E25"/>
    </row>
    <row r="26" spans="1:24">
      <c r="A26" t="s">
        <v>208</v>
      </c>
      <c r="B26" s="47" t="s">
        <v>223</v>
      </c>
      <c r="C26">
        <v>29062020</v>
      </c>
      <c r="D26" t="s">
        <v>138</v>
      </c>
      <c r="E26" t="s">
        <v>209</v>
      </c>
      <c r="F26" t="s">
        <v>139</v>
      </c>
      <c r="G26">
        <v>1</v>
      </c>
      <c r="H26">
        <v>40</v>
      </c>
      <c r="J26">
        <v>17120100</v>
      </c>
      <c r="K26" t="s">
        <v>140</v>
      </c>
      <c r="L26">
        <v>2386</v>
      </c>
      <c r="M26">
        <v>2386</v>
      </c>
      <c r="W26" t="s">
        <v>224</v>
      </c>
    </row>
    <row r="27" spans="1:24">
      <c r="B27" s="47" t="s">
        <v>223</v>
      </c>
      <c r="C27">
        <v>29062020</v>
      </c>
      <c r="D27" t="s">
        <v>138</v>
      </c>
      <c r="E27" t="s">
        <v>209</v>
      </c>
      <c r="F27" t="s">
        <v>139</v>
      </c>
      <c r="G27">
        <v>2</v>
      </c>
      <c r="H27">
        <v>50</v>
      </c>
      <c r="J27">
        <v>56110100</v>
      </c>
      <c r="K27" t="s">
        <v>140</v>
      </c>
      <c r="L27">
        <v>2386</v>
      </c>
      <c r="M27">
        <v>2386</v>
      </c>
      <c r="P27">
        <v>830141404</v>
      </c>
      <c r="W27" t="s">
        <v>224</v>
      </c>
    </row>
    <row r="28" spans="1:24">
      <c r="B28" s="47"/>
      <c r="E28"/>
    </row>
    <row r="29" spans="1:24">
      <c r="A29" t="s">
        <v>208</v>
      </c>
      <c r="B29" s="47" t="s">
        <v>225</v>
      </c>
      <c r="C29">
        <v>29062020</v>
      </c>
      <c r="D29" t="s">
        <v>138</v>
      </c>
      <c r="E29" t="s">
        <v>214</v>
      </c>
      <c r="F29" t="s">
        <v>139</v>
      </c>
      <c r="G29">
        <v>1</v>
      </c>
      <c r="H29">
        <v>40</v>
      </c>
      <c r="J29">
        <v>17120100</v>
      </c>
      <c r="K29" t="s">
        <v>140</v>
      </c>
      <c r="L29">
        <v>2065</v>
      </c>
      <c r="M29">
        <v>2065</v>
      </c>
      <c r="W29" t="s">
        <v>224</v>
      </c>
    </row>
    <row r="30" spans="1:24">
      <c r="B30" s="47" t="s">
        <v>225</v>
      </c>
      <c r="C30">
        <v>29062020</v>
      </c>
      <c r="D30" t="s">
        <v>138</v>
      </c>
      <c r="E30" t="s">
        <v>214</v>
      </c>
      <c r="F30" t="s">
        <v>139</v>
      </c>
      <c r="G30">
        <v>2</v>
      </c>
      <c r="H30">
        <v>50</v>
      </c>
      <c r="J30">
        <v>56110100</v>
      </c>
      <c r="K30" t="s">
        <v>140</v>
      </c>
      <c r="L30">
        <v>2065</v>
      </c>
      <c r="M30">
        <v>2065</v>
      </c>
      <c r="P30">
        <v>830141404</v>
      </c>
      <c r="W30" t="s">
        <v>224</v>
      </c>
    </row>
    <row r="31" spans="1:24">
      <c r="B31" s="47"/>
      <c r="E31"/>
    </row>
    <row r="32" spans="1:24">
      <c r="A32" t="s">
        <v>208</v>
      </c>
      <c r="B32" s="47" t="s">
        <v>225</v>
      </c>
      <c r="C32">
        <v>29062020</v>
      </c>
      <c r="D32" t="s">
        <v>138</v>
      </c>
      <c r="E32" t="s">
        <v>217</v>
      </c>
      <c r="F32" t="s">
        <v>139</v>
      </c>
      <c r="G32">
        <v>1</v>
      </c>
      <c r="H32">
        <v>40</v>
      </c>
      <c r="J32">
        <v>17120100</v>
      </c>
      <c r="K32" t="s">
        <v>140</v>
      </c>
      <c r="L32">
        <v>2065</v>
      </c>
      <c r="M32">
        <v>2065</v>
      </c>
      <c r="W32" t="s">
        <v>224</v>
      </c>
    </row>
    <row r="33" spans="1:23">
      <c r="B33" s="47" t="s">
        <v>225</v>
      </c>
      <c r="C33">
        <v>29062020</v>
      </c>
      <c r="D33" t="s">
        <v>138</v>
      </c>
      <c r="E33" t="s">
        <v>217</v>
      </c>
      <c r="F33" t="s">
        <v>139</v>
      </c>
      <c r="G33">
        <v>2</v>
      </c>
      <c r="H33">
        <v>50</v>
      </c>
      <c r="J33">
        <v>56110100</v>
      </c>
      <c r="K33" t="s">
        <v>140</v>
      </c>
      <c r="L33">
        <v>2065</v>
      </c>
      <c r="M33">
        <v>2065</v>
      </c>
      <c r="P33">
        <v>830141404</v>
      </c>
      <c r="W33" t="s">
        <v>224</v>
      </c>
    </row>
    <row r="34" spans="1:23">
      <c r="B34" s="47"/>
      <c r="E34"/>
    </row>
    <row r="35" spans="1:23">
      <c r="A35" t="s">
        <v>208</v>
      </c>
      <c r="B35" s="47" t="s">
        <v>225</v>
      </c>
      <c r="C35">
        <v>29062020</v>
      </c>
      <c r="D35" t="s">
        <v>138</v>
      </c>
      <c r="E35" t="s">
        <v>217</v>
      </c>
      <c r="F35" t="s">
        <v>139</v>
      </c>
      <c r="G35">
        <v>1</v>
      </c>
      <c r="H35">
        <v>40</v>
      </c>
      <c r="J35">
        <v>17120100</v>
      </c>
      <c r="K35" t="s">
        <v>140</v>
      </c>
      <c r="L35">
        <v>2065</v>
      </c>
      <c r="M35">
        <v>2065</v>
      </c>
      <c r="W35" t="s">
        <v>224</v>
      </c>
    </row>
    <row r="36" spans="1:23">
      <c r="B36" s="47" t="s">
        <v>225</v>
      </c>
      <c r="C36">
        <v>29062020</v>
      </c>
      <c r="D36" t="s">
        <v>138</v>
      </c>
      <c r="E36" t="s">
        <v>217</v>
      </c>
      <c r="F36" t="s">
        <v>139</v>
      </c>
      <c r="G36">
        <v>2</v>
      </c>
      <c r="H36">
        <v>50</v>
      </c>
      <c r="J36">
        <v>56110100</v>
      </c>
      <c r="K36" t="s">
        <v>140</v>
      </c>
      <c r="L36">
        <v>2065</v>
      </c>
      <c r="M36">
        <v>2065</v>
      </c>
      <c r="P36">
        <v>830141404</v>
      </c>
      <c r="W36" t="s">
        <v>224</v>
      </c>
    </row>
    <row r="37" spans="1:23">
      <c r="B37" s="47"/>
      <c r="E37"/>
    </row>
    <row r="38" spans="1:23">
      <c r="A38" t="s">
        <v>208</v>
      </c>
      <c r="B38" s="47" t="s">
        <v>226</v>
      </c>
      <c r="C38">
        <v>29062020</v>
      </c>
      <c r="D38" t="s">
        <v>138</v>
      </c>
      <c r="E38" t="s">
        <v>219</v>
      </c>
      <c r="F38" t="s">
        <v>139</v>
      </c>
      <c r="G38">
        <v>1</v>
      </c>
      <c r="H38">
        <v>40</v>
      </c>
      <c r="J38">
        <v>17120100</v>
      </c>
      <c r="K38" t="s">
        <v>140</v>
      </c>
      <c r="L38">
        <v>2064</v>
      </c>
      <c r="M38">
        <v>2064</v>
      </c>
      <c r="W38" t="s">
        <v>224</v>
      </c>
    </row>
    <row r="39" spans="1:23">
      <c r="B39" s="47" t="s">
        <v>226</v>
      </c>
      <c r="C39">
        <v>29062020</v>
      </c>
      <c r="D39" t="s">
        <v>138</v>
      </c>
      <c r="E39" t="s">
        <v>219</v>
      </c>
      <c r="F39" t="s">
        <v>139</v>
      </c>
      <c r="G39">
        <v>2</v>
      </c>
      <c r="H39">
        <v>50</v>
      </c>
      <c r="J39">
        <v>56110100</v>
      </c>
      <c r="K39" t="s">
        <v>140</v>
      </c>
      <c r="L39">
        <v>2064</v>
      </c>
      <c r="M39">
        <v>2064</v>
      </c>
      <c r="P39">
        <v>830141404</v>
      </c>
      <c r="W39" t="s">
        <v>224</v>
      </c>
    </row>
    <row r="40" spans="1:23">
      <c r="B40" s="47"/>
      <c r="E40"/>
    </row>
    <row r="41" spans="1:23">
      <c r="A41" t="s">
        <v>208</v>
      </c>
      <c r="B41" s="47" t="s">
        <v>226</v>
      </c>
      <c r="C41">
        <v>29062020</v>
      </c>
      <c r="D41" t="s">
        <v>138</v>
      </c>
      <c r="E41" t="s">
        <v>219</v>
      </c>
      <c r="F41" t="s">
        <v>139</v>
      </c>
      <c r="G41">
        <v>1</v>
      </c>
      <c r="H41">
        <v>40</v>
      </c>
      <c r="J41">
        <v>17120100</v>
      </c>
      <c r="K41" t="s">
        <v>140</v>
      </c>
      <c r="L41">
        <v>2064</v>
      </c>
      <c r="M41">
        <v>2064</v>
      </c>
      <c r="W41" t="s">
        <v>224</v>
      </c>
    </row>
    <row r="42" spans="1:23">
      <c r="B42" s="47" t="s">
        <v>226</v>
      </c>
      <c r="C42">
        <v>29062020</v>
      </c>
      <c r="D42" t="s">
        <v>138</v>
      </c>
      <c r="E42" t="s">
        <v>219</v>
      </c>
      <c r="F42" t="s">
        <v>139</v>
      </c>
      <c r="G42">
        <v>2</v>
      </c>
      <c r="H42">
        <v>50</v>
      </c>
      <c r="J42">
        <v>56110100</v>
      </c>
      <c r="K42" t="s">
        <v>140</v>
      </c>
      <c r="L42">
        <v>2064</v>
      </c>
      <c r="M42">
        <v>2064</v>
      </c>
      <c r="P42">
        <v>830141404</v>
      </c>
      <c r="W42" t="s">
        <v>224</v>
      </c>
    </row>
    <row r="43" spans="1:23">
      <c r="B43" s="47"/>
      <c r="E43"/>
    </row>
    <row r="44" spans="1:23">
      <c r="A44" t="s">
        <v>208</v>
      </c>
      <c r="B44" s="47" t="s">
        <v>226</v>
      </c>
      <c r="C44">
        <v>29062020</v>
      </c>
      <c r="D44" t="s">
        <v>138</v>
      </c>
      <c r="E44" t="s">
        <v>221</v>
      </c>
      <c r="F44" t="s">
        <v>139</v>
      </c>
      <c r="G44">
        <v>1</v>
      </c>
      <c r="H44">
        <v>40</v>
      </c>
      <c r="J44">
        <v>17120100</v>
      </c>
      <c r="K44" t="s">
        <v>140</v>
      </c>
      <c r="L44">
        <v>2064</v>
      </c>
      <c r="M44">
        <v>2064</v>
      </c>
      <c r="W44" t="s">
        <v>224</v>
      </c>
    </row>
    <row r="45" spans="1:23">
      <c r="B45" s="47" t="s">
        <v>226</v>
      </c>
      <c r="C45">
        <v>29062020</v>
      </c>
      <c r="D45" t="s">
        <v>138</v>
      </c>
      <c r="E45" t="s">
        <v>221</v>
      </c>
      <c r="F45" t="s">
        <v>139</v>
      </c>
      <c r="G45">
        <v>2</v>
      </c>
      <c r="H45">
        <v>50</v>
      </c>
      <c r="J45">
        <v>56110100</v>
      </c>
      <c r="K45" t="s">
        <v>140</v>
      </c>
      <c r="L45">
        <v>2064</v>
      </c>
      <c r="M45">
        <v>2064</v>
      </c>
      <c r="P45">
        <v>830141404</v>
      </c>
      <c r="W45" t="s">
        <v>224</v>
      </c>
    </row>
    <row r="46" spans="1:23">
      <c r="B46" s="47"/>
      <c r="E46"/>
    </row>
    <row r="47" spans="1:23">
      <c r="A47" t="s">
        <v>208</v>
      </c>
      <c r="B47" s="47" t="s">
        <v>226</v>
      </c>
      <c r="C47">
        <v>29062020</v>
      </c>
      <c r="D47" t="s">
        <v>138</v>
      </c>
      <c r="E47" t="s">
        <v>221</v>
      </c>
      <c r="F47" t="s">
        <v>139</v>
      </c>
      <c r="G47">
        <v>1</v>
      </c>
      <c r="H47">
        <v>40</v>
      </c>
      <c r="J47">
        <v>17120100</v>
      </c>
      <c r="K47" t="s">
        <v>140</v>
      </c>
      <c r="L47">
        <v>2064</v>
      </c>
      <c r="M47">
        <v>2064</v>
      </c>
      <c r="W47" t="s">
        <v>224</v>
      </c>
    </row>
    <row r="48" spans="1:23">
      <c r="B48" s="47" t="s">
        <v>226</v>
      </c>
      <c r="C48">
        <v>29062020</v>
      </c>
      <c r="D48" t="s">
        <v>138</v>
      </c>
      <c r="E48" t="s">
        <v>221</v>
      </c>
      <c r="F48" t="s">
        <v>139</v>
      </c>
      <c r="G48">
        <v>2</v>
      </c>
      <c r="H48">
        <v>50</v>
      </c>
      <c r="J48">
        <v>56110100</v>
      </c>
      <c r="K48" t="s">
        <v>140</v>
      </c>
      <c r="L48">
        <v>2064</v>
      </c>
      <c r="M48">
        <v>2064</v>
      </c>
      <c r="P48">
        <v>830141404</v>
      </c>
      <c r="W48" t="s">
        <v>224</v>
      </c>
    </row>
    <row r="49" spans="1:23">
      <c r="B49" s="47"/>
      <c r="E49"/>
    </row>
    <row r="50" spans="1:23">
      <c r="A50" t="s">
        <v>136</v>
      </c>
      <c r="B50" s="47" t="s">
        <v>227</v>
      </c>
      <c r="C50">
        <v>29062020</v>
      </c>
      <c r="D50" t="s">
        <v>138</v>
      </c>
      <c r="E50" t="s">
        <v>187</v>
      </c>
      <c r="F50" t="s">
        <v>139</v>
      </c>
      <c r="G50">
        <v>1</v>
      </c>
      <c r="H50">
        <v>40</v>
      </c>
      <c r="J50">
        <v>17120100</v>
      </c>
      <c r="K50" t="s">
        <v>140</v>
      </c>
      <c r="L50">
        <v>1288</v>
      </c>
      <c r="M50">
        <v>1288</v>
      </c>
      <c r="W50" t="s">
        <v>167</v>
      </c>
    </row>
    <row r="51" spans="1:23">
      <c r="B51" s="47" t="s">
        <v>227</v>
      </c>
      <c r="C51">
        <v>29062020</v>
      </c>
      <c r="D51" t="s">
        <v>138</v>
      </c>
      <c r="E51" t="s">
        <v>187</v>
      </c>
      <c r="F51" t="s">
        <v>139</v>
      </c>
      <c r="G51">
        <v>2</v>
      </c>
      <c r="H51">
        <v>50</v>
      </c>
      <c r="J51">
        <v>56110100</v>
      </c>
      <c r="K51" t="s">
        <v>140</v>
      </c>
      <c r="L51">
        <v>1288</v>
      </c>
      <c r="M51">
        <v>1288</v>
      </c>
      <c r="P51">
        <v>830141404</v>
      </c>
      <c r="W51" t="s">
        <v>167</v>
      </c>
    </row>
    <row r="52" spans="1:23">
      <c r="B52" s="47"/>
      <c r="E52"/>
    </row>
    <row r="53" spans="1:23">
      <c r="A53" t="s">
        <v>136</v>
      </c>
      <c r="B53" s="47" t="s">
        <v>227</v>
      </c>
      <c r="C53">
        <v>29062020</v>
      </c>
      <c r="D53" t="s">
        <v>138</v>
      </c>
      <c r="E53" t="s">
        <v>190</v>
      </c>
      <c r="F53" t="s">
        <v>139</v>
      </c>
      <c r="G53">
        <v>1</v>
      </c>
      <c r="H53">
        <v>40</v>
      </c>
      <c r="J53">
        <v>17120100</v>
      </c>
      <c r="K53" t="s">
        <v>140</v>
      </c>
      <c r="L53">
        <v>42501</v>
      </c>
      <c r="M53">
        <v>42501</v>
      </c>
      <c r="W53" t="s">
        <v>167</v>
      </c>
    </row>
    <row r="54" spans="1:23">
      <c r="B54" s="47" t="s">
        <v>227</v>
      </c>
      <c r="C54">
        <v>29062020</v>
      </c>
      <c r="D54" t="s">
        <v>138</v>
      </c>
      <c r="E54" t="s">
        <v>190</v>
      </c>
      <c r="F54" t="s">
        <v>139</v>
      </c>
      <c r="G54">
        <v>2</v>
      </c>
      <c r="H54">
        <v>50</v>
      </c>
      <c r="J54">
        <v>56110100</v>
      </c>
      <c r="K54" t="s">
        <v>140</v>
      </c>
      <c r="L54">
        <v>42501</v>
      </c>
      <c r="M54">
        <v>42501</v>
      </c>
      <c r="P54">
        <v>830141404</v>
      </c>
      <c r="W54" t="s">
        <v>167</v>
      </c>
    </row>
    <row r="55" spans="1:23">
      <c r="B55" s="47"/>
      <c r="E55"/>
    </row>
    <row r="56" spans="1:23">
      <c r="A56" t="s">
        <v>136</v>
      </c>
      <c r="B56" s="47" t="s">
        <v>227</v>
      </c>
      <c r="C56">
        <v>29062020</v>
      </c>
      <c r="D56" t="s">
        <v>138</v>
      </c>
      <c r="E56" t="s">
        <v>192</v>
      </c>
      <c r="F56" t="s">
        <v>139</v>
      </c>
      <c r="G56">
        <v>1</v>
      </c>
      <c r="H56">
        <v>40</v>
      </c>
      <c r="J56">
        <v>17120100</v>
      </c>
      <c r="K56" t="s">
        <v>140</v>
      </c>
      <c r="L56">
        <v>48208</v>
      </c>
      <c r="M56">
        <v>48208</v>
      </c>
      <c r="W56" t="s">
        <v>167</v>
      </c>
    </row>
    <row r="57" spans="1:23">
      <c r="B57" s="47" t="s">
        <v>227</v>
      </c>
      <c r="C57">
        <v>29062020</v>
      </c>
      <c r="D57" t="s">
        <v>138</v>
      </c>
      <c r="E57" t="s">
        <v>192</v>
      </c>
      <c r="F57" t="s">
        <v>139</v>
      </c>
      <c r="G57">
        <v>2</v>
      </c>
      <c r="H57">
        <v>50</v>
      </c>
      <c r="J57">
        <v>56110100</v>
      </c>
      <c r="K57" t="s">
        <v>140</v>
      </c>
      <c r="L57">
        <v>48208</v>
      </c>
      <c r="M57">
        <v>48208</v>
      </c>
      <c r="P57">
        <v>830141404</v>
      </c>
      <c r="W57" t="s">
        <v>167</v>
      </c>
    </row>
    <row r="58" spans="1:23">
      <c r="B58" s="47"/>
      <c r="E58"/>
    </row>
    <row r="59" spans="1:23">
      <c r="A59" t="s">
        <v>136</v>
      </c>
      <c r="B59" s="47" t="s">
        <v>227</v>
      </c>
      <c r="C59">
        <v>29062020</v>
      </c>
      <c r="D59" t="s">
        <v>138</v>
      </c>
      <c r="E59" t="s">
        <v>194</v>
      </c>
      <c r="F59" t="s">
        <v>139</v>
      </c>
      <c r="G59">
        <v>1</v>
      </c>
      <c r="H59">
        <v>40</v>
      </c>
      <c r="J59">
        <v>17120100</v>
      </c>
      <c r="K59" t="s">
        <v>140</v>
      </c>
      <c r="L59">
        <v>35400</v>
      </c>
      <c r="M59">
        <v>35400</v>
      </c>
      <c r="W59" t="s">
        <v>167</v>
      </c>
    </row>
    <row r="60" spans="1:23">
      <c r="B60" s="47" t="s">
        <v>227</v>
      </c>
      <c r="C60">
        <v>29062020</v>
      </c>
      <c r="D60" t="s">
        <v>138</v>
      </c>
      <c r="E60" t="s">
        <v>194</v>
      </c>
      <c r="F60" t="s">
        <v>139</v>
      </c>
      <c r="G60">
        <v>2</v>
      </c>
      <c r="H60">
        <v>50</v>
      </c>
      <c r="J60">
        <v>56110100</v>
      </c>
      <c r="K60" t="s">
        <v>140</v>
      </c>
      <c r="L60">
        <v>35400</v>
      </c>
      <c r="M60">
        <v>35400</v>
      </c>
      <c r="P60">
        <v>830141404</v>
      </c>
      <c r="W60" t="s">
        <v>167</v>
      </c>
    </row>
    <row r="61" spans="1:23">
      <c r="B61" s="47"/>
      <c r="E61"/>
    </row>
    <row r="62" spans="1:23">
      <c r="A62" t="s">
        <v>166</v>
      </c>
      <c r="B62" s="47" t="s">
        <v>228</v>
      </c>
      <c r="C62">
        <v>29062020</v>
      </c>
      <c r="D62" t="s">
        <v>138</v>
      </c>
      <c r="E62" t="s">
        <v>196</v>
      </c>
      <c r="F62" t="s">
        <v>139</v>
      </c>
      <c r="G62">
        <v>1</v>
      </c>
      <c r="H62">
        <v>40</v>
      </c>
      <c r="J62">
        <v>17120100</v>
      </c>
      <c r="K62" t="s">
        <v>140</v>
      </c>
      <c r="L62">
        <v>19355</v>
      </c>
      <c r="M62">
        <v>19355</v>
      </c>
      <c r="W62" t="s">
        <v>167</v>
      </c>
    </row>
    <row r="63" spans="1:23">
      <c r="B63" s="47" t="s">
        <v>228</v>
      </c>
      <c r="C63">
        <v>29062020</v>
      </c>
      <c r="D63" t="s">
        <v>138</v>
      </c>
      <c r="E63" t="s">
        <v>196</v>
      </c>
      <c r="F63" t="s">
        <v>139</v>
      </c>
      <c r="G63">
        <v>2</v>
      </c>
      <c r="H63">
        <v>50</v>
      </c>
      <c r="J63">
        <v>56110100</v>
      </c>
      <c r="K63" t="s">
        <v>140</v>
      </c>
      <c r="L63">
        <v>19355</v>
      </c>
      <c r="M63">
        <v>19355</v>
      </c>
      <c r="P63">
        <v>830141404</v>
      </c>
      <c r="W63" t="s">
        <v>167</v>
      </c>
    </row>
    <row r="64" spans="1:23">
      <c r="B64" s="47"/>
      <c r="E64"/>
    </row>
    <row r="65" spans="1:23">
      <c r="A65" t="s">
        <v>166</v>
      </c>
      <c r="B65" s="47" t="s">
        <v>229</v>
      </c>
      <c r="C65">
        <v>29062020</v>
      </c>
      <c r="D65" t="s">
        <v>138</v>
      </c>
      <c r="E65" t="s">
        <v>199</v>
      </c>
      <c r="F65" t="s">
        <v>139</v>
      </c>
      <c r="G65">
        <v>1</v>
      </c>
      <c r="H65">
        <v>40</v>
      </c>
      <c r="J65">
        <v>17120100</v>
      </c>
      <c r="K65" t="s">
        <v>140</v>
      </c>
      <c r="L65">
        <v>19200</v>
      </c>
      <c r="M65">
        <v>19200</v>
      </c>
      <c r="W65" t="s">
        <v>167</v>
      </c>
    </row>
    <row r="66" spans="1:23">
      <c r="B66" s="47" t="s">
        <v>229</v>
      </c>
      <c r="C66">
        <v>29062020</v>
      </c>
      <c r="D66" t="s">
        <v>138</v>
      </c>
      <c r="E66" t="s">
        <v>199</v>
      </c>
      <c r="F66" t="s">
        <v>139</v>
      </c>
      <c r="G66">
        <v>2</v>
      </c>
      <c r="H66">
        <v>50</v>
      </c>
      <c r="J66">
        <v>56110100</v>
      </c>
      <c r="K66" t="s">
        <v>140</v>
      </c>
      <c r="L66">
        <v>19200</v>
      </c>
      <c r="M66">
        <v>19200</v>
      </c>
      <c r="P66">
        <v>830141404</v>
      </c>
      <c r="W66" t="s">
        <v>167</v>
      </c>
    </row>
    <row r="67" spans="1:23">
      <c r="B67" s="47"/>
      <c r="E67"/>
    </row>
    <row r="68" spans="1:23">
      <c r="A68" t="s">
        <v>166</v>
      </c>
      <c r="B68" s="47" t="s">
        <v>230</v>
      </c>
      <c r="C68">
        <v>29062020</v>
      </c>
      <c r="D68" t="s">
        <v>138</v>
      </c>
      <c r="E68" t="s">
        <v>202</v>
      </c>
      <c r="F68" t="s">
        <v>139</v>
      </c>
      <c r="G68">
        <v>1</v>
      </c>
      <c r="H68">
        <v>40</v>
      </c>
      <c r="J68">
        <v>17120100</v>
      </c>
      <c r="K68" t="s">
        <v>140</v>
      </c>
      <c r="L68">
        <v>19512</v>
      </c>
      <c r="M68">
        <v>19512</v>
      </c>
      <c r="W68" t="s">
        <v>167</v>
      </c>
    </row>
    <row r="69" spans="1:23">
      <c r="B69" s="47" t="s">
        <v>230</v>
      </c>
      <c r="C69">
        <v>29062020</v>
      </c>
      <c r="D69" t="s">
        <v>138</v>
      </c>
      <c r="E69" t="s">
        <v>202</v>
      </c>
      <c r="F69" t="s">
        <v>139</v>
      </c>
      <c r="G69">
        <v>2</v>
      </c>
      <c r="H69">
        <v>50</v>
      </c>
      <c r="J69">
        <v>56110100</v>
      </c>
      <c r="K69" t="s">
        <v>140</v>
      </c>
      <c r="L69">
        <v>19512</v>
      </c>
      <c r="M69">
        <v>19512</v>
      </c>
      <c r="P69">
        <v>830141404</v>
      </c>
      <c r="W69" t="s">
        <v>167</v>
      </c>
    </row>
    <row r="70" spans="1:23">
      <c r="B70" s="47"/>
      <c r="E70"/>
    </row>
    <row r="71" spans="1:23">
      <c r="A71" t="s">
        <v>166</v>
      </c>
      <c r="B71" s="47" t="s">
        <v>230</v>
      </c>
      <c r="C71">
        <v>29062020</v>
      </c>
      <c r="D71" t="s">
        <v>138</v>
      </c>
      <c r="E71" t="s">
        <v>205</v>
      </c>
      <c r="F71" t="s">
        <v>139</v>
      </c>
      <c r="G71">
        <v>1</v>
      </c>
      <c r="H71">
        <v>40</v>
      </c>
      <c r="J71">
        <v>17120100</v>
      </c>
      <c r="K71" t="s">
        <v>140</v>
      </c>
      <c r="L71">
        <v>19512</v>
      </c>
      <c r="M71">
        <v>19512</v>
      </c>
      <c r="W71" t="s">
        <v>167</v>
      </c>
    </row>
    <row r="72" spans="1:23">
      <c r="B72" s="47" t="s">
        <v>230</v>
      </c>
      <c r="C72">
        <v>29062020</v>
      </c>
      <c r="D72" t="s">
        <v>138</v>
      </c>
      <c r="E72" t="s">
        <v>205</v>
      </c>
      <c r="F72" t="s">
        <v>139</v>
      </c>
      <c r="G72">
        <v>2</v>
      </c>
      <c r="H72">
        <v>50</v>
      </c>
      <c r="J72">
        <v>56110100</v>
      </c>
      <c r="K72" t="s">
        <v>140</v>
      </c>
      <c r="L72">
        <v>19512</v>
      </c>
      <c r="M72">
        <v>19512</v>
      </c>
      <c r="P72">
        <v>830141404</v>
      </c>
      <c r="W72" t="s">
        <v>167</v>
      </c>
    </row>
    <row r="73" spans="1:23">
      <c r="B73" s="47"/>
      <c r="E73"/>
    </row>
    <row r="74" spans="1:23">
      <c r="B74" s="47"/>
      <c r="E74"/>
    </row>
    <row r="75" spans="1:23">
      <c r="B75" s="47"/>
      <c r="E75"/>
    </row>
    <row r="76" spans="1:23">
      <c r="B76" s="47"/>
      <c r="E76"/>
    </row>
    <row r="77" spans="1:23">
      <c r="B77" s="47"/>
      <c r="E77"/>
    </row>
    <row r="78" spans="1:23">
      <c r="B78" s="47"/>
      <c r="E78"/>
    </row>
    <row r="79" spans="1:23">
      <c r="B79" s="47"/>
      <c r="E79"/>
    </row>
    <row r="80" spans="1:23">
      <c r="B80" s="47"/>
      <c r="E80"/>
    </row>
    <row r="81" spans="2:5">
      <c r="B81" s="47"/>
      <c r="E81"/>
    </row>
    <row r="82" spans="2:5">
      <c r="B82" s="47"/>
      <c r="E82"/>
    </row>
    <row r="83" spans="2:5">
      <c r="B83" s="47"/>
      <c r="E83"/>
    </row>
    <row r="84" spans="2:5">
      <c r="B84" s="47"/>
      <c r="E84"/>
    </row>
    <row r="85" spans="2:5">
      <c r="B85" s="47"/>
      <c r="E85"/>
    </row>
    <row r="86" spans="2:5">
      <c r="B86" s="47"/>
      <c r="E86"/>
    </row>
    <row r="87" spans="2:5">
      <c r="B87" s="47"/>
      <c r="E87"/>
    </row>
    <row r="88" spans="2:5">
      <c r="B88" s="47"/>
      <c r="E88"/>
    </row>
    <row r="89" spans="2:5">
      <c r="B89" s="47"/>
      <c r="E89"/>
    </row>
    <row r="90" spans="2:5">
      <c r="B90" s="47"/>
      <c r="E90"/>
    </row>
    <row r="91" spans="2:5">
      <c r="B91" s="47"/>
      <c r="E91"/>
    </row>
    <row r="92" spans="2:5">
      <c r="B92" s="47"/>
      <c r="E92"/>
    </row>
    <row r="93" spans="2:5">
      <c r="B93" s="47"/>
      <c r="E93"/>
    </row>
    <row r="94" spans="2:5">
      <c r="B94" s="47"/>
      <c r="E94"/>
    </row>
    <row r="95" spans="2:5">
      <c r="B95" s="47"/>
      <c r="E95"/>
    </row>
    <row r="96" spans="2:5">
      <c r="B96" s="47"/>
      <c r="E96"/>
    </row>
    <row r="97" spans="2:5">
      <c r="B97" s="47"/>
      <c r="E97"/>
    </row>
    <row r="98" spans="2:5">
      <c r="B98" s="47"/>
      <c r="E98"/>
    </row>
    <row r="99" spans="2:5">
      <c r="B99" s="47"/>
      <c r="E99"/>
    </row>
    <row r="100" spans="2:5">
      <c r="B100" s="47"/>
      <c r="E100"/>
    </row>
    <row r="101" spans="2:5">
      <c r="B101" s="47"/>
      <c r="E101"/>
    </row>
    <row r="102" spans="2:5">
      <c r="B102" s="47"/>
      <c r="E102"/>
    </row>
    <row r="103" spans="2:5">
      <c r="B103" s="47"/>
      <c r="E103"/>
    </row>
    <row r="104" spans="2:5">
      <c r="B104" s="47"/>
      <c r="E104"/>
    </row>
    <row r="105" spans="2:5">
      <c r="B105" s="47"/>
      <c r="E105"/>
    </row>
    <row r="106" spans="2:5">
      <c r="B106" s="47"/>
      <c r="E106"/>
    </row>
    <row r="107" spans="2:5">
      <c r="B107" s="47"/>
      <c r="E107"/>
    </row>
    <row r="108" spans="2:5">
      <c r="B108" s="47"/>
      <c r="E108"/>
    </row>
    <row r="109" spans="2:5">
      <c r="B109" s="47"/>
      <c r="E109"/>
    </row>
    <row r="110" spans="2:5">
      <c r="B110" s="47"/>
      <c r="E110"/>
    </row>
    <row r="111" spans="2:5">
      <c r="B111" s="47"/>
      <c r="E111"/>
    </row>
    <row r="112" spans="2:5">
      <c r="B112" s="47"/>
      <c r="E112"/>
    </row>
    <row r="113" spans="2:5">
      <c r="B113" s="47"/>
      <c r="E113"/>
    </row>
    <row r="114" spans="2:5">
      <c r="B114" s="47"/>
      <c r="E114"/>
    </row>
    <row r="115" spans="2:5">
      <c r="B115" s="47"/>
      <c r="E115"/>
    </row>
    <row r="116" spans="2:5">
      <c r="B116" s="47"/>
      <c r="E116"/>
    </row>
    <row r="117" spans="2:5">
      <c r="B117" s="47"/>
      <c r="E117"/>
    </row>
    <row r="118" spans="2:5">
      <c r="B118" s="47"/>
      <c r="E118"/>
    </row>
    <row r="119" spans="2:5">
      <c r="B119" s="47"/>
      <c r="E119"/>
    </row>
    <row r="120" spans="2:5">
      <c r="B120" s="47"/>
      <c r="E120"/>
    </row>
    <row r="121" spans="2:5">
      <c r="B121" s="47"/>
      <c r="E121"/>
    </row>
    <row r="122" spans="2:5">
      <c r="B122" s="47"/>
      <c r="E122"/>
    </row>
    <row r="123" spans="2:5">
      <c r="B123" s="47"/>
      <c r="E123"/>
    </row>
    <row r="124" spans="2:5">
      <c r="B124" s="47"/>
      <c r="E124"/>
    </row>
    <row r="125" spans="2:5">
      <c r="B125" s="47"/>
      <c r="E125"/>
    </row>
    <row r="126" spans="2:5">
      <c r="B126" s="47"/>
      <c r="E126"/>
    </row>
    <row r="127" spans="2:5">
      <c r="B127" s="47"/>
      <c r="E127"/>
    </row>
    <row r="128" spans="2:5">
      <c r="B128" s="47"/>
      <c r="E128"/>
    </row>
    <row r="129" spans="2:5">
      <c r="B129" s="47"/>
      <c r="E129"/>
    </row>
    <row r="130" spans="2:5">
      <c r="B130" s="47"/>
      <c r="E130"/>
    </row>
    <row r="131" spans="2:5">
      <c r="B131" s="47"/>
      <c r="E131"/>
    </row>
    <row r="132" spans="2:5">
      <c r="B132" s="47"/>
      <c r="E132"/>
    </row>
    <row r="133" spans="2:5">
      <c r="B133" s="47"/>
      <c r="E133"/>
    </row>
    <row r="134" spans="2:5">
      <c r="B134" s="47"/>
      <c r="E134"/>
    </row>
    <row r="135" spans="2:5">
      <c r="B135" s="47"/>
      <c r="E135"/>
    </row>
    <row r="136" spans="2:5">
      <c r="B136" s="47"/>
      <c r="E136"/>
    </row>
    <row r="137" spans="2:5">
      <c r="B137" s="47"/>
      <c r="E137"/>
    </row>
    <row r="138" spans="2:5">
      <c r="B138" s="47"/>
      <c r="E138"/>
    </row>
    <row r="139" spans="2:5">
      <c r="B139" s="47"/>
      <c r="E139"/>
    </row>
    <row r="140" spans="2:5">
      <c r="B140" s="47"/>
      <c r="E140"/>
    </row>
    <row r="141" spans="2:5">
      <c r="B141" s="47"/>
      <c r="E141"/>
    </row>
    <row r="142" spans="2:5">
      <c r="B142" s="47"/>
      <c r="E142"/>
    </row>
    <row r="143" spans="2:5">
      <c r="B143" s="47"/>
      <c r="E143"/>
    </row>
    <row r="144" spans="2:5">
      <c r="B144" s="47"/>
      <c r="E144"/>
    </row>
    <row r="145" spans="2:5">
      <c r="B145" s="47"/>
      <c r="E145"/>
    </row>
    <row r="146" spans="2:5">
      <c r="B146" s="47"/>
      <c r="E146"/>
    </row>
    <row r="147" spans="2:5">
      <c r="B147" s="47"/>
      <c r="E147"/>
    </row>
    <row r="148" spans="2:5">
      <c r="B148" s="47"/>
      <c r="E148"/>
    </row>
    <row r="149" spans="2:5">
      <c r="B149" s="47"/>
      <c r="E149"/>
    </row>
    <row r="150" spans="2:5">
      <c r="B150" s="47"/>
      <c r="E150"/>
    </row>
    <row r="151" spans="2:5">
      <c r="B151" s="47"/>
      <c r="E151"/>
    </row>
    <row r="152" spans="2:5">
      <c r="B152" s="47"/>
      <c r="E152"/>
    </row>
    <row r="153" spans="2:5">
      <c r="B153" s="47"/>
      <c r="E153"/>
    </row>
    <row r="154" spans="2:5">
      <c r="B154" s="47"/>
      <c r="E154"/>
    </row>
    <row r="155" spans="2:5">
      <c r="B155" s="47"/>
      <c r="E155"/>
    </row>
    <row r="156" spans="2:5">
      <c r="B156" s="47"/>
      <c r="E156"/>
    </row>
    <row r="157" spans="2:5">
      <c r="B157" s="47"/>
      <c r="E157"/>
    </row>
    <row r="158" spans="2:5">
      <c r="B158" s="47"/>
      <c r="E158"/>
    </row>
    <row r="159" spans="2:5">
      <c r="B159" s="47"/>
      <c r="E159"/>
    </row>
    <row r="160" spans="2:5">
      <c r="B160" s="47"/>
      <c r="E160"/>
    </row>
    <row r="161" spans="2:5">
      <c r="B161" s="47"/>
      <c r="E161"/>
    </row>
    <row r="162" spans="2:5">
      <c r="B162" s="47"/>
      <c r="E162"/>
    </row>
    <row r="163" spans="2:5">
      <c r="B163" s="47"/>
      <c r="E163"/>
    </row>
    <row r="164" spans="2:5">
      <c r="B164" s="47"/>
      <c r="E164"/>
    </row>
    <row r="165" spans="2:5">
      <c r="B165" s="47"/>
      <c r="E165"/>
    </row>
    <row r="166" spans="2:5">
      <c r="B166" s="47"/>
      <c r="E166"/>
    </row>
    <row r="167" spans="2:5">
      <c r="B167" s="47"/>
      <c r="E167"/>
    </row>
    <row r="168" spans="2:5">
      <c r="B168" s="47"/>
      <c r="E168"/>
    </row>
    <row r="169" spans="2:5">
      <c r="B169" s="47"/>
      <c r="E169"/>
    </row>
    <row r="170" spans="2:5">
      <c r="B170" s="47"/>
      <c r="E170"/>
    </row>
    <row r="171" spans="2:5">
      <c r="B171" s="47"/>
      <c r="E171"/>
    </row>
    <row r="172" spans="2:5">
      <c r="B172" s="47"/>
      <c r="E172"/>
    </row>
    <row r="173" spans="2:5">
      <c r="B173" s="47"/>
      <c r="E173"/>
    </row>
    <row r="174" spans="2:5">
      <c r="B174" s="47"/>
      <c r="E174"/>
    </row>
    <row r="175" spans="2:5">
      <c r="B175" s="47"/>
      <c r="E175"/>
    </row>
    <row r="176" spans="2:5">
      <c r="B176" s="47"/>
      <c r="E176"/>
    </row>
    <row r="177" spans="2:5">
      <c r="B177" s="47"/>
      <c r="E177"/>
    </row>
    <row r="178" spans="2:5">
      <c r="B178" s="47"/>
      <c r="E178"/>
    </row>
    <row r="179" spans="2:5">
      <c r="B179" s="47"/>
      <c r="E179"/>
    </row>
    <row r="180" spans="2:5">
      <c r="B180" s="47"/>
      <c r="E180"/>
    </row>
    <row r="181" spans="2:5">
      <c r="B181" s="47"/>
      <c r="E181"/>
    </row>
    <row r="182" spans="2:5">
      <c r="B182" s="47"/>
      <c r="E182"/>
    </row>
    <row r="183" spans="2:5">
      <c r="B183" s="47"/>
      <c r="E183"/>
    </row>
    <row r="184" spans="2:5">
      <c r="B184" s="47"/>
      <c r="E184"/>
    </row>
    <row r="185" spans="2:5">
      <c r="B185" s="47"/>
      <c r="E185"/>
    </row>
    <row r="186" spans="2:5">
      <c r="B186" s="47"/>
      <c r="E186"/>
    </row>
    <row r="187" spans="2:5">
      <c r="B187" s="47"/>
      <c r="E187"/>
    </row>
    <row r="188" spans="2:5">
      <c r="B188" s="47"/>
      <c r="E188"/>
    </row>
    <row r="189" spans="2:5">
      <c r="B189" s="47"/>
      <c r="E189"/>
    </row>
    <row r="190" spans="2:5">
      <c r="B190" s="47"/>
      <c r="E190"/>
    </row>
    <row r="191" spans="2:5">
      <c r="B191" s="47"/>
      <c r="E191"/>
    </row>
    <row r="192" spans="2:5">
      <c r="B192" s="47"/>
      <c r="E192"/>
    </row>
    <row r="193" spans="2:5">
      <c r="B193" s="47"/>
      <c r="E193"/>
    </row>
    <row r="194" spans="2:5">
      <c r="B194" s="47"/>
      <c r="E194"/>
    </row>
    <row r="195" spans="2:5">
      <c r="B195" s="47"/>
      <c r="E195"/>
    </row>
    <row r="196" spans="2:5">
      <c r="B196" s="47"/>
      <c r="E196"/>
    </row>
    <row r="197" spans="2:5">
      <c r="B197" s="47"/>
      <c r="E197"/>
    </row>
    <row r="198" spans="2:5">
      <c r="B198" s="47"/>
      <c r="E198"/>
    </row>
    <row r="199" spans="2:5">
      <c r="B199" s="47"/>
      <c r="E199"/>
    </row>
    <row r="200" spans="2:5">
      <c r="B200" s="47"/>
      <c r="E200"/>
    </row>
    <row r="201" spans="2:5">
      <c r="B201" s="47"/>
      <c r="E201"/>
    </row>
    <row r="202" spans="2:5">
      <c r="B202" s="47"/>
      <c r="E202"/>
    </row>
    <row r="203" spans="2:5">
      <c r="B203" s="47"/>
      <c r="E203"/>
    </row>
    <row r="204" spans="2:5">
      <c r="B204" s="47"/>
      <c r="E204"/>
    </row>
    <row r="205" spans="2:5">
      <c r="B205" s="47"/>
      <c r="E205"/>
    </row>
    <row r="206" spans="2:5">
      <c r="B206" s="47"/>
      <c r="E206"/>
    </row>
    <row r="207" spans="2:5">
      <c r="B207" s="47"/>
      <c r="E207"/>
    </row>
    <row r="208" spans="2:5">
      <c r="B208" s="47"/>
      <c r="E208"/>
    </row>
    <row r="209" spans="2:5">
      <c r="B209" s="47"/>
      <c r="E209"/>
    </row>
    <row r="210" spans="2:5">
      <c r="B210" s="47"/>
      <c r="E210"/>
    </row>
    <row r="211" spans="2:5">
      <c r="B211" s="47"/>
      <c r="E211"/>
    </row>
    <row r="212" spans="2:5">
      <c r="B212" s="47"/>
      <c r="E212"/>
    </row>
    <row r="213" spans="2:5">
      <c r="B213" s="47"/>
      <c r="E213"/>
    </row>
    <row r="214" spans="2:5">
      <c r="B214" s="47"/>
      <c r="E214"/>
    </row>
    <row r="215" spans="2:5">
      <c r="B215" s="47"/>
      <c r="E215"/>
    </row>
    <row r="216" spans="2:5">
      <c r="B216" s="47"/>
      <c r="E216"/>
    </row>
    <row r="217" spans="2:5">
      <c r="B217" s="47"/>
      <c r="E217"/>
    </row>
    <row r="218" spans="2:5">
      <c r="B218" s="47"/>
      <c r="E218"/>
    </row>
    <row r="219" spans="2:5">
      <c r="B219" s="47"/>
      <c r="E219"/>
    </row>
    <row r="220" spans="2:5">
      <c r="B220" s="47"/>
      <c r="E220"/>
    </row>
    <row r="221" spans="2:5">
      <c r="B221" s="47"/>
      <c r="E221"/>
    </row>
    <row r="222" spans="2:5">
      <c r="B222" s="47"/>
      <c r="E222"/>
    </row>
    <row r="223" spans="2:5">
      <c r="B223" s="47"/>
      <c r="E223"/>
    </row>
    <row r="224" spans="2:5">
      <c r="B224" s="47"/>
      <c r="E224"/>
    </row>
    <row r="225" spans="2:5">
      <c r="B225" s="47"/>
      <c r="E225"/>
    </row>
    <row r="226" spans="2:5">
      <c r="B226" s="47"/>
      <c r="E226"/>
    </row>
    <row r="227" spans="2:5">
      <c r="B227" s="47"/>
      <c r="E227"/>
    </row>
    <row r="228" spans="2:5">
      <c r="B228" s="47"/>
      <c r="E228"/>
    </row>
    <row r="229" spans="2:5">
      <c r="B229" s="47"/>
      <c r="E229"/>
    </row>
    <row r="230" spans="2:5">
      <c r="B230" s="47"/>
      <c r="E230"/>
    </row>
    <row r="231" spans="2:5">
      <c r="B231" s="47"/>
      <c r="E231"/>
    </row>
    <row r="232" spans="2:5">
      <c r="B232" s="47"/>
      <c r="E232"/>
    </row>
    <row r="233" spans="2:5">
      <c r="B233" s="47"/>
      <c r="E233"/>
    </row>
    <row r="234" spans="2:5">
      <c r="B234" s="47"/>
      <c r="E234"/>
    </row>
    <row r="235" spans="2:5">
      <c r="B235" s="47"/>
      <c r="E235"/>
    </row>
    <row r="236" spans="2:5">
      <c r="B236" s="47"/>
      <c r="E236"/>
    </row>
    <row r="237" spans="2:5">
      <c r="B237" s="47"/>
      <c r="E237"/>
    </row>
    <row r="238" spans="2:5">
      <c r="B238" s="47"/>
      <c r="E238"/>
    </row>
    <row r="239" spans="2:5">
      <c r="B239" s="47"/>
      <c r="E239"/>
    </row>
    <row r="240" spans="2:5">
      <c r="B240" s="47"/>
      <c r="E240"/>
    </row>
    <row r="241" spans="2:5">
      <c r="B241" s="47"/>
      <c r="E241"/>
    </row>
    <row r="242" spans="2:5">
      <c r="B242" s="47"/>
      <c r="E242"/>
    </row>
    <row r="243" spans="2:5">
      <c r="B243" s="47"/>
      <c r="E243"/>
    </row>
    <row r="244" spans="2:5">
      <c r="B244" s="47"/>
      <c r="E244"/>
    </row>
    <row r="245" spans="2:5">
      <c r="B245" s="47"/>
      <c r="E245"/>
    </row>
    <row r="246" spans="2:5">
      <c r="B246" s="47"/>
      <c r="E246"/>
    </row>
    <row r="247" spans="2:5">
      <c r="B247" s="47"/>
      <c r="E247"/>
    </row>
    <row r="248" spans="2:5">
      <c r="B248" s="47"/>
      <c r="E248"/>
    </row>
    <row r="249" spans="2:5">
      <c r="B249" s="47"/>
      <c r="E249"/>
    </row>
    <row r="250" spans="2:5">
      <c r="B250" s="47"/>
      <c r="E250"/>
    </row>
    <row r="251" spans="2:5">
      <c r="B251" s="47"/>
      <c r="E251"/>
    </row>
    <row r="252" spans="2:5">
      <c r="B252" s="47"/>
      <c r="E252"/>
    </row>
    <row r="253" spans="2:5">
      <c r="B253" s="47"/>
      <c r="E253"/>
    </row>
    <row r="254" spans="2:5">
      <c r="B254" s="47"/>
      <c r="E254"/>
    </row>
    <row r="255" spans="2:5">
      <c r="B255" s="47"/>
      <c r="E255"/>
    </row>
    <row r="256" spans="2:5">
      <c r="B256" s="47"/>
      <c r="E256"/>
    </row>
    <row r="257" spans="2:5">
      <c r="B257" s="47"/>
      <c r="E257"/>
    </row>
    <row r="258" spans="2:5">
      <c r="B258" s="47"/>
      <c r="E258"/>
    </row>
    <row r="259" spans="2:5">
      <c r="B259" s="47"/>
      <c r="E259"/>
    </row>
    <row r="260" spans="2:5">
      <c r="B260" s="47"/>
      <c r="E260"/>
    </row>
    <row r="261" spans="2:5">
      <c r="B261" s="47"/>
      <c r="E261"/>
    </row>
    <row r="262" spans="2:5">
      <c r="B262" s="47"/>
      <c r="E262"/>
    </row>
    <row r="263" spans="2:5">
      <c r="B263" s="47"/>
      <c r="E263"/>
    </row>
    <row r="264" spans="2:5">
      <c r="B264" s="47"/>
      <c r="E264"/>
    </row>
    <row r="265" spans="2:5">
      <c r="B265" s="47"/>
      <c r="E265"/>
    </row>
    <row r="266" spans="2:5">
      <c r="B266" s="47"/>
      <c r="E266"/>
    </row>
    <row r="267" spans="2:5">
      <c r="B267" s="47"/>
      <c r="E267"/>
    </row>
    <row r="268" spans="2:5">
      <c r="B268" s="47"/>
      <c r="E268"/>
    </row>
    <row r="269" spans="2:5">
      <c r="B269" s="47"/>
      <c r="E269"/>
    </row>
    <row r="270" spans="2:5">
      <c r="B270" s="47"/>
      <c r="E270"/>
    </row>
    <row r="271" spans="2:5">
      <c r="B271" s="47"/>
      <c r="E271"/>
    </row>
    <row r="272" spans="2:5">
      <c r="B272" s="47"/>
      <c r="E272"/>
    </row>
    <row r="273" spans="2:5">
      <c r="B273" s="47"/>
      <c r="E273"/>
    </row>
    <row r="274" spans="2:5">
      <c r="B274" s="47"/>
      <c r="E274"/>
    </row>
    <row r="275" spans="2:5">
      <c r="B275" s="47"/>
      <c r="E275"/>
    </row>
    <row r="276" spans="2:5">
      <c r="B276" s="47"/>
      <c r="E276"/>
    </row>
    <row r="277" spans="2:5">
      <c r="B277" s="47"/>
      <c r="E277"/>
    </row>
    <row r="278" spans="2:5">
      <c r="B278" s="47"/>
      <c r="E278"/>
    </row>
    <row r="279" spans="2:5">
      <c r="B279" s="47"/>
      <c r="E279"/>
    </row>
    <row r="280" spans="2:5">
      <c r="B280" s="47"/>
      <c r="E280"/>
    </row>
    <row r="281" spans="2:5">
      <c r="B281" s="47"/>
      <c r="E281"/>
    </row>
    <row r="282" spans="2:5">
      <c r="B282" s="47"/>
      <c r="E282"/>
    </row>
    <row r="283" spans="2:5">
      <c r="B283" s="47"/>
      <c r="E283"/>
    </row>
    <row r="284" spans="2:5">
      <c r="B284" s="47"/>
      <c r="E284"/>
    </row>
    <row r="285" spans="2:5">
      <c r="B285" s="47"/>
      <c r="E285"/>
    </row>
    <row r="286" spans="2:5">
      <c r="B286" s="47"/>
      <c r="E286"/>
    </row>
    <row r="287" spans="2:5">
      <c r="B287" s="47"/>
      <c r="E287"/>
    </row>
    <row r="288" spans="2:5">
      <c r="B288" s="47"/>
      <c r="E288"/>
    </row>
    <row r="289" spans="2:5">
      <c r="B289" s="47"/>
      <c r="E289"/>
    </row>
    <row r="290" spans="2:5">
      <c r="B290" s="47"/>
      <c r="E290"/>
    </row>
    <row r="291" spans="2:5">
      <c r="B291" s="47"/>
      <c r="E291"/>
    </row>
    <row r="292" spans="2:5">
      <c r="B292" s="47"/>
      <c r="E292"/>
    </row>
    <row r="293" spans="2:5">
      <c r="B293" s="47"/>
      <c r="E293"/>
    </row>
    <row r="294" spans="2:5">
      <c r="B294" s="47"/>
      <c r="E294"/>
    </row>
    <row r="295" spans="2:5">
      <c r="B295" s="47"/>
      <c r="E295"/>
    </row>
    <row r="296" spans="2:5">
      <c r="B296" s="47"/>
      <c r="E296"/>
    </row>
    <row r="297" spans="2:5">
      <c r="B297" s="47"/>
      <c r="E297"/>
    </row>
    <row r="298" spans="2:5">
      <c r="B298" s="47"/>
      <c r="E298"/>
    </row>
    <row r="299" spans="2:5">
      <c r="B299" s="47"/>
      <c r="E299"/>
    </row>
    <row r="300" spans="2:5">
      <c r="B300" s="47"/>
      <c r="E300"/>
    </row>
    <row r="301" spans="2:5">
      <c r="B301" s="47"/>
      <c r="E301"/>
    </row>
    <row r="302" spans="2:5">
      <c r="B302" s="47"/>
      <c r="E302"/>
    </row>
    <row r="303" spans="2:5">
      <c r="B303" s="47"/>
      <c r="E303"/>
    </row>
    <row r="304" spans="2:5">
      <c r="B304" s="47"/>
      <c r="E304"/>
    </row>
    <row r="305" spans="2:5">
      <c r="B305" s="47"/>
      <c r="E305"/>
    </row>
    <row r="306" spans="2:5">
      <c r="B306" s="47"/>
      <c r="E306"/>
    </row>
    <row r="307" spans="2:5">
      <c r="B307" s="47"/>
      <c r="E307"/>
    </row>
    <row r="308" spans="2:5">
      <c r="B308" s="47"/>
      <c r="E308"/>
    </row>
    <row r="309" spans="2:5">
      <c r="B309" s="47"/>
      <c r="E309"/>
    </row>
    <row r="310" spans="2:5">
      <c r="B310" s="47"/>
      <c r="E310"/>
    </row>
    <row r="311" spans="2:5">
      <c r="B311" s="47"/>
      <c r="E311"/>
    </row>
    <row r="312" spans="2:5">
      <c r="B312" s="47"/>
      <c r="E312"/>
    </row>
    <row r="313" spans="2:5">
      <c r="B313" s="47"/>
      <c r="E313"/>
    </row>
    <row r="314" spans="2:5">
      <c r="B314" s="47"/>
      <c r="E314"/>
    </row>
    <row r="315" spans="2:5">
      <c r="B315" s="47"/>
      <c r="E315"/>
    </row>
    <row r="316" spans="2:5">
      <c r="B316" s="47"/>
      <c r="E316"/>
    </row>
    <row r="317" spans="2:5">
      <c r="B317" s="47"/>
      <c r="E317"/>
    </row>
    <row r="318" spans="2:5">
      <c r="B318" s="47"/>
      <c r="E318"/>
    </row>
    <row r="319" spans="2:5">
      <c r="B319" s="47"/>
      <c r="E319"/>
    </row>
    <row r="320" spans="2:5">
      <c r="B320" s="47"/>
      <c r="E320"/>
    </row>
    <row r="321" spans="2:5">
      <c r="B321" s="47"/>
      <c r="E321"/>
    </row>
    <row r="322" spans="2:5">
      <c r="B322" s="47"/>
      <c r="E322"/>
    </row>
    <row r="323" spans="2:5">
      <c r="B323" s="47"/>
      <c r="E323"/>
    </row>
    <row r="324" spans="2:5">
      <c r="B324" s="47"/>
      <c r="E324"/>
    </row>
    <row r="325" spans="2:5">
      <c r="B325" s="47"/>
      <c r="E325"/>
    </row>
    <row r="326" spans="2:5">
      <c r="B326" s="47"/>
      <c r="E326"/>
    </row>
    <row r="327" spans="2:5">
      <c r="B327" s="47"/>
      <c r="E327"/>
    </row>
    <row r="328" spans="2:5">
      <c r="B328" s="47"/>
      <c r="E328"/>
    </row>
    <row r="329" spans="2:5">
      <c r="B329" s="47"/>
      <c r="E329"/>
    </row>
    <row r="330" spans="2:5">
      <c r="B330" s="47"/>
      <c r="E330"/>
    </row>
    <row r="331" spans="2:5">
      <c r="B331" s="47"/>
      <c r="E331"/>
    </row>
    <row r="332" spans="2:5">
      <c r="B332" s="47"/>
      <c r="E332"/>
    </row>
    <row r="333" spans="2:5">
      <c r="B333" s="47"/>
      <c r="E333"/>
    </row>
    <row r="334" spans="2:5">
      <c r="B334" s="47"/>
      <c r="E334"/>
    </row>
    <row r="335" spans="2:5">
      <c r="B335" s="47"/>
      <c r="E335"/>
    </row>
    <row r="336" spans="2:5">
      <c r="B336" s="47"/>
      <c r="E336"/>
    </row>
    <row r="337" spans="2:5">
      <c r="B337" s="47"/>
      <c r="E337"/>
    </row>
    <row r="338" spans="2:5">
      <c r="B338" s="47"/>
      <c r="E338"/>
    </row>
    <row r="339" spans="2:5">
      <c r="B339" s="47"/>
      <c r="E339"/>
    </row>
    <row r="340" spans="2:5">
      <c r="B340" s="47"/>
      <c r="E340"/>
    </row>
    <row r="341" spans="2:5">
      <c r="B341" s="47"/>
      <c r="E341"/>
    </row>
    <row r="342" spans="2:5">
      <c r="B342" s="47"/>
      <c r="E342"/>
    </row>
    <row r="343" spans="2:5">
      <c r="B343" s="47"/>
      <c r="E343"/>
    </row>
    <row r="344" spans="2:5">
      <c r="B344" s="47"/>
      <c r="E344"/>
    </row>
    <row r="345" spans="2:5">
      <c r="B345" s="47"/>
      <c r="E345"/>
    </row>
    <row r="346" spans="2:5">
      <c r="B346" s="47"/>
      <c r="E346"/>
    </row>
    <row r="347" spans="2:5">
      <c r="B347" s="47"/>
      <c r="E347"/>
    </row>
    <row r="348" spans="2:5">
      <c r="B348" s="47"/>
      <c r="E348"/>
    </row>
    <row r="349" spans="2:5">
      <c r="B349" s="47"/>
      <c r="E349"/>
    </row>
    <row r="350" spans="2:5">
      <c r="B350" s="47"/>
      <c r="E350"/>
    </row>
    <row r="351" spans="2:5">
      <c r="B351" s="47"/>
      <c r="E351"/>
    </row>
    <row r="352" spans="2:5">
      <c r="B352" s="47"/>
      <c r="E352"/>
    </row>
    <row r="353" spans="2:5">
      <c r="B353" s="47"/>
      <c r="E353"/>
    </row>
    <row r="354" spans="2:5">
      <c r="B354" s="47"/>
      <c r="E354"/>
    </row>
    <row r="355" spans="2:5">
      <c r="B355" s="47"/>
      <c r="E355"/>
    </row>
    <row r="356" spans="2:5">
      <c r="B356" s="47"/>
      <c r="E356"/>
    </row>
    <row r="357" spans="2:5">
      <c r="B357" s="47"/>
      <c r="E357"/>
    </row>
    <row r="358" spans="2:5">
      <c r="B358" s="47"/>
      <c r="E358"/>
    </row>
    <row r="359" spans="2:5">
      <c r="B359" s="47"/>
      <c r="E359"/>
    </row>
    <row r="360" spans="2:5">
      <c r="B360" s="47"/>
      <c r="E360"/>
    </row>
    <row r="361" spans="2:5">
      <c r="B361" s="47"/>
      <c r="E361"/>
    </row>
    <row r="362" spans="2:5">
      <c r="B362" s="47"/>
      <c r="E362"/>
    </row>
    <row r="363" spans="2:5">
      <c r="B363" s="47"/>
      <c r="E363"/>
    </row>
    <row r="364" spans="2:5">
      <c r="B364" s="47"/>
      <c r="E364"/>
    </row>
    <row r="365" spans="2:5">
      <c r="B365" s="47"/>
      <c r="E365"/>
    </row>
    <row r="366" spans="2:5">
      <c r="B366" s="47"/>
      <c r="E366"/>
    </row>
    <row r="367" spans="2:5">
      <c r="B367" s="47"/>
      <c r="E367"/>
    </row>
    <row r="368" spans="2:5">
      <c r="B368" s="47"/>
      <c r="E368"/>
    </row>
    <row r="369" spans="2:5">
      <c r="B369" s="47"/>
      <c r="E369"/>
    </row>
    <row r="370" spans="2:5">
      <c r="B370" s="47"/>
      <c r="E370"/>
    </row>
    <row r="371" spans="2:5">
      <c r="B371" s="47"/>
      <c r="E371"/>
    </row>
    <row r="372" spans="2:5">
      <c r="B372" s="47"/>
      <c r="E372"/>
    </row>
    <row r="373" spans="2:5">
      <c r="B373" s="47"/>
      <c r="E373"/>
    </row>
    <row r="374" spans="2:5">
      <c r="B374" s="47"/>
      <c r="E374"/>
    </row>
    <row r="375" spans="2:5">
      <c r="B375" s="47"/>
      <c r="E375"/>
    </row>
    <row r="376" spans="2:5">
      <c r="B376" s="47"/>
      <c r="E376"/>
    </row>
    <row r="377" spans="2:5">
      <c r="B377" s="47"/>
      <c r="E377"/>
    </row>
    <row r="378" spans="2:5">
      <c r="B378" s="47"/>
      <c r="E378"/>
    </row>
    <row r="379" spans="2:5">
      <c r="B379" s="47"/>
      <c r="E379"/>
    </row>
    <row r="380" spans="2:5">
      <c r="B380" s="47"/>
      <c r="E380"/>
    </row>
    <row r="381" spans="2:5">
      <c r="B381" s="47"/>
      <c r="E381"/>
    </row>
    <row r="382" spans="2:5">
      <c r="B382" s="47"/>
      <c r="E382"/>
    </row>
    <row r="383" spans="2:5">
      <c r="B383" s="47"/>
      <c r="E383"/>
    </row>
    <row r="384" spans="2:5">
      <c r="B384" s="47"/>
      <c r="E384"/>
    </row>
    <row r="385" spans="2:5">
      <c r="B385" s="47"/>
      <c r="E385"/>
    </row>
    <row r="386" spans="2:5">
      <c r="B386" s="47"/>
      <c r="E386"/>
    </row>
    <row r="387" spans="2:5">
      <c r="B387" s="47"/>
      <c r="E387"/>
    </row>
    <row r="388" spans="2:5">
      <c r="B388" s="47"/>
      <c r="E388"/>
    </row>
    <row r="389" spans="2:5">
      <c r="B389" s="47"/>
      <c r="E389"/>
    </row>
    <row r="390" spans="2:5">
      <c r="B390" s="47"/>
      <c r="E390"/>
    </row>
    <row r="391" spans="2:5">
      <c r="B391" s="47"/>
      <c r="E391"/>
    </row>
    <row r="392" spans="2:5">
      <c r="B392" s="47"/>
      <c r="E392"/>
    </row>
    <row r="393" spans="2:5">
      <c r="B393" s="47"/>
      <c r="E393"/>
    </row>
    <row r="394" spans="2:5">
      <c r="B394" s="47"/>
      <c r="E394"/>
    </row>
    <row r="395" spans="2:5">
      <c r="B395" s="47"/>
      <c r="E395"/>
    </row>
    <row r="396" spans="2:5">
      <c r="B396" s="47"/>
      <c r="E396"/>
    </row>
    <row r="397" spans="2:5">
      <c r="B397" s="47"/>
      <c r="E397"/>
    </row>
    <row r="398" spans="2:5">
      <c r="B398" s="47"/>
      <c r="E398"/>
    </row>
    <row r="399" spans="2:5">
      <c r="B399" s="47"/>
      <c r="E399"/>
    </row>
    <row r="400" spans="2:5">
      <c r="B400" s="47"/>
      <c r="E400"/>
    </row>
    <row r="401" spans="2:5">
      <c r="B401" s="47"/>
      <c r="E401"/>
    </row>
    <row r="402" spans="2:5">
      <c r="B402" s="47"/>
      <c r="E402"/>
    </row>
    <row r="403" spans="2:5">
      <c r="B403" s="47"/>
      <c r="E403"/>
    </row>
    <row r="404" spans="2:5">
      <c r="B404" s="47"/>
      <c r="E404"/>
    </row>
    <row r="405" spans="2:5">
      <c r="B405" s="47"/>
      <c r="E405"/>
    </row>
    <row r="406" spans="2:5">
      <c r="B406" s="47"/>
      <c r="E406"/>
    </row>
    <row r="407" spans="2:5">
      <c r="B407" s="47"/>
      <c r="E407"/>
    </row>
    <row r="408" spans="2:5">
      <c r="B408" s="47"/>
      <c r="E408"/>
    </row>
    <row r="409" spans="2:5">
      <c r="B409" s="47"/>
      <c r="E409"/>
    </row>
    <row r="410" spans="2:5">
      <c r="B410" s="47"/>
      <c r="E410"/>
    </row>
    <row r="411" spans="2:5">
      <c r="B411" s="47"/>
      <c r="E411"/>
    </row>
    <row r="412" spans="2:5">
      <c r="B412" s="47"/>
      <c r="E412"/>
    </row>
    <row r="413" spans="2:5">
      <c r="B413" s="47"/>
      <c r="E413"/>
    </row>
    <row r="414" spans="2:5">
      <c r="B414" s="47"/>
      <c r="E414"/>
    </row>
    <row r="415" spans="2:5">
      <c r="B415" s="47"/>
      <c r="E415"/>
    </row>
    <row r="416" spans="2:5">
      <c r="B416" s="47"/>
      <c r="E416"/>
    </row>
    <row r="417" spans="2:5">
      <c r="B417" s="47"/>
      <c r="E417"/>
    </row>
    <row r="418" spans="2:5">
      <c r="B418" s="47"/>
      <c r="E418"/>
    </row>
    <row r="419" spans="2:5">
      <c r="B419" s="47"/>
      <c r="E419"/>
    </row>
    <row r="420" spans="2:5">
      <c r="B420" s="47"/>
      <c r="E420"/>
    </row>
    <row r="421" spans="2:5">
      <c r="B421" s="47"/>
      <c r="E421"/>
    </row>
    <row r="422" spans="2:5">
      <c r="B422" s="47"/>
      <c r="E422"/>
    </row>
    <row r="423" spans="2:5">
      <c r="B423" s="47"/>
      <c r="E423"/>
    </row>
    <row r="424" spans="2:5">
      <c r="B424" s="47"/>
      <c r="E424"/>
    </row>
    <row r="425" spans="2:5">
      <c r="B425" s="47"/>
      <c r="E425"/>
    </row>
    <row r="426" spans="2:5">
      <c r="B426" s="47"/>
      <c r="E426"/>
    </row>
    <row r="427" spans="2:5">
      <c r="B427" s="47"/>
      <c r="E427"/>
    </row>
    <row r="428" spans="2:5">
      <c r="B428" s="47"/>
      <c r="E428"/>
    </row>
    <row r="429" spans="2:5">
      <c r="B429" s="47"/>
      <c r="E429"/>
    </row>
    <row r="430" spans="2:5">
      <c r="B430" s="47"/>
      <c r="E430"/>
    </row>
    <row r="431" spans="2:5">
      <c r="B431" s="47"/>
      <c r="E431"/>
    </row>
    <row r="432" spans="2:5">
      <c r="B432" s="47"/>
      <c r="E432"/>
    </row>
    <row r="433" spans="2:5">
      <c r="B433" s="47"/>
      <c r="E433"/>
    </row>
    <row r="434" spans="2:5">
      <c r="B434" s="47"/>
      <c r="E434"/>
    </row>
    <row r="435" spans="2:5">
      <c r="B435" s="47"/>
      <c r="E435"/>
    </row>
    <row r="436" spans="2:5">
      <c r="B436" s="47"/>
      <c r="E436"/>
    </row>
    <row r="437" spans="2:5">
      <c r="B437" s="47"/>
      <c r="E437"/>
    </row>
    <row r="438" spans="2:5">
      <c r="B438" s="47"/>
      <c r="E438"/>
    </row>
    <row r="439" spans="2:5">
      <c r="B439" s="47"/>
      <c r="E439"/>
    </row>
    <row r="440" spans="2:5">
      <c r="B440" s="47"/>
      <c r="E440"/>
    </row>
    <row r="441" spans="2:5">
      <c r="B441" s="47"/>
      <c r="E441"/>
    </row>
    <row r="442" spans="2:5">
      <c r="B442" s="47"/>
      <c r="E442"/>
    </row>
    <row r="443" spans="2:5">
      <c r="B443" s="47"/>
      <c r="E443"/>
    </row>
    <row r="444" spans="2:5">
      <c r="B444" s="47"/>
      <c r="E444"/>
    </row>
    <row r="445" spans="2:5">
      <c r="B445" s="47"/>
      <c r="E445"/>
    </row>
    <row r="446" spans="2:5">
      <c r="B446" s="47"/>
      <c r="E446"/>
    </row>
    <row r="447" spans="2:5">
      <c r="B447" s="47"/>
      <c r="E447"/>
    </row>
    <row r="448" spans="2:5">
      <c r="B448" s="47"/>
      <c r="E448"/>
    </row>
    <row r="449" spans="2:5">
      <c r="B449" s="47"/>
      <c r="E449"/>
    </row>
    <row r="450" spans="2:5">
      <c r="B450" s="47"/>
      <c r="E450"/>
    </row>
    <row r="451" spans="2:5">
      <c r="B451" s="47"/>
      <c r="E451"/>
    </row>
    <row r="452" spans="2:5">
      <c r="B452" s="47"/>
      <c r="E452"/>
    </row>
    <row r="453" spans="2:5">
      <c r="B453" s="47"/>
      <c r="E453"/>
    </row>
    <row r="454" spans="2:5">
      <c r="B454" s="47"/>
      <c r="E454"/>
    </row>
    <row r="455" spans="2:5">
      <c r="B455" s="47"/>
      <c r="E455"/>
    </row>
    <row r="456" spans="2:5">
      <c r="B456" s="47"/>
      <c r="E456"/>
    </row>
    <row r="457" spans="2:5">
      <c r="B457" s="47"/>
      <c r="E457"/>
    </row>
    <row r="458" spans="2:5">
      <c r="B458" s="47"/>
      <c r="E458"/>
    </row>
    <row r="459" spans="2:5">
      <c r="B459" s="47"/>
      <c r="E459"/>
    </row>
    <row r="460" spans="2:5">
      <c r="B460" s="47"/>
      <c r="E460"/>
    </row>
    <row r="461" spans="2:5">
      <c r="B461" s="47"/>
      <c r="E461"/>
    </row>
    <row r="462" spans="2:5">
      <c r="B462" s="47"/>
      <c r="E462"/>
    </row>
    <row r="463" spans="2:5">
      <c r="B463" s="47"/>
      <c r="E463"/>
    </row>
    <row r="464" spans="2:5">
      <c r="B464" s="47"/>
      <c r="E464"/>
    </row>
    <row r="465" spans="2:5">
      <c r="B465" s="47"/>
      <c r="E465"/>
    </row>
    <row r="466" spans="2:5">
      <c r="B466" s="47"/>
      <c r="E466"/>
    </row>
    <row r="467" spans="2:5">
      <c r="B467" s="47"/>
      <c r="E467"/>
    </row>
    <row r="468" spans="2:5">
      <c r="B468" s="47"/>
      <c r="E468"/>
    </row>
    <row r="469" spans="2:5">
      <c r="B469" s="47"/>
      <c r="E469"/>
    </row>
    <row r="470" spans="2:5">
      <c r="B470" s="47"/>
      <c r="E470"/>
    </row>
    <row r="471" spans="2:5">
      <c r="B471" s="47"/>
      <c r="E471"/>
    </row>
    <row r="472" spans="2:5">
      <c r="B472" s="47"/>
      <c r="E472"/>
    </row>
    <row r="473" spans="2:5">
      <c r="B473" s="47"/>
      <c r="E473"/>
    </row>
    <row r="474" spans="2:5">
      <c r="B474" s="47"/>
      <c r="E474"/>
    </row>
    <row r="475" spans="2:5">
      <c r="B475" s="47"/>
      <c r="E475"/>
    </row>
    <row r="476" spans="2:5">
      <c r="B476" s="47"/>
      <c r="E476"/>
    </row>
    <row r="477" spans="2:5">
      <c r="B477" s="47"/>
      <c r="E477"/>
    </row>
    <row r="478" spans="2:5">
      <c r="B478" s="47"/>
      <c r="E478"/>
    </row>
    <row r="479" spans="2:5">
      <c r="B479" s="47"/>
      <c r="E479"/>
    </row>
    <row r="480" spans="2:5">
      <c r="B480" s="47"/>
      <c r="E480"/>
    </row>
    <row r="481" spans="2:5">
      <c r="B481" s="47"/>
      <c r="E481"/>
    </row>
    <row r="482" spans="2:5">
      <c r="B482" s="47"/>
      <c r="E482"/>
    </row>
    <row r="483" spans="2:5">
      <c r="B483" s="47"/>
      <c r="E483"/>
    </row>
    <row r="484" spans="2:5">
      <c r="B484" s="47"/>
      <c r="E484"/>
    </row>
    <row r="485" spans="2:5">
      <c r="B485" s="47"/>
      <c r="E485"/>
    </row>
    <row r="486" spans="2:5">
      <c r="B486" s="47"/>
      <c r="E486"/>
    </row>
    <row r="487" spans="2:5">
      <c r="B487" s="47"/>
      <c r="E487"/>
    </row>
    <row r="488" spans="2:5">
      <c r="B488" s="47"/>
      <c r="E488"/>
    </row>
    <row r="489" spans="2:5">
      <c r="B489" s="47"/>
      <c r="E489"/>
    </row>
    <row r="490" spans="2:5">
      <c r="B490" s="47"/>
      <c r="E490"/>
    </row>
    <row r="491" spans="2:5">
      <c r="B491" s="47"/>
      <c r="E491"/>
    </row>
    <row r="492" spans="2:5">
      <c r="B492" s="47"/>
      <c r="E492"/>
    </row>
    <row r="493" spans="2:5">
      <c r="B493" s="47"/>
      <c r="E493"/>
    </row>
    <row r="494" spans="2:5">
      <c r="B494" s="47"/>
      <c r="E494"/>
    </row>
    <row r="495" spans="2:5">
      <c r="B495" s="47"/>
      <c r="E495"/>
    </row>
    <row r="496" spans="2:5">
      <c r="B496" s="47"/>
      <c r="E496"/>
    </row>
    <row r="497" spans="2:5">
      <c r="B497" s="47"/>
      <c r="E497"/>
    </row>
    <row r="498" spans="2:5">
      <c r="B498" s="47"/>
      <c r="E498"/>
    </row>
    <row r="499" spans="2:5">
      <c r="B499" s="47"/>
      <c r="E499"/>
    </row>
    <row r="500" spans="2:5">
      <c r="B500" s="47"/>
      <c r="E500"/>
    </row>
    <row r="501" spans="2:5">
      <c r="B501" s="47"/>
      <c r="E501"/>
    </row>
    <row r="502" spans="2:5">
      <c r="B502" s="47"/>
      <c r="E502"/>
    </row>
    <row r="503" spans="2:5">
      <c r="B503" s="47"/>
      <c r="E503"/>
    </row>
    <row r="504" spans="2:5">
      <c r="B504" s="47"/>
      <c r="E504"/>
    </row>
    <row r="505" spans="2:5">
      <c r="B505" s="47"/>
      <c r="E505"/>
    </row>
    <row r="506" spans="2:5">
      <c r="B506" s="47"/>
      <c r="E506"/>
    </row>
    <row r="507" spans="2:5">
      <c r="B507" s="47"/>
      <c r="E507"/>
    </row>
    <row r="508" spans="2:5">
      <c r="B508" s="47"/>
      <c r="E508"/>
    </row>
    <row r="509" spans="2:5">
      <c r="B509" s="47"/>
      <c r="E509"/>
    </row>
    <row r="510" spans="2:5">
      <c r="B510" s="47"/>
      <c r="E510"/>
    </row>
    <row r="511" spans="2:5">
      <c r="B511" s="47"/>
      <c r="E511"/>
    </row>
    <row r="512" spans="2:5">
      <c r="B512" s="47"/>
      <c r="E512"/>
    </row>
    <row r="513" spans="2:5">
      <c r="B513" s="47"/>
      <c r="E513"/>
    </row>
    <row r="514" spans="2:5">
      <c r="B514" s="47"/>
      <c r="E514"/>
    </row>
    <row r="515" spans="2:5">
      <c r="B515" s="47"/>
      <c r="E515"/>
    </row>
    <row r="516" spans="2:5">
      <c r="B516" s="47"/>
      <c r="E516"/>
    </row>
    <row r="517" spans="2:5">
      <c r="B517" s="47"/>
      <c r="E517"/>
    </row>
    <row r="518" spans="2:5">
      <c r="B518" s="47"/>
      <c r="E518"/>
    </row>
    <row r="519" spans="2:5">
      <c r="B519" s="47"/>
      <c r="E519"/>
    </row>
    <row r="520" spans="2:5">
      <c r="B520" s="47"/>
      <c r="E520"/>
    </row>
    <row r="521" spans="2:5">
      <c r="B521" s="47"/>
      <c r="E521"/>
    </row>
    <row r="522" spans="2:5">
      <c r="B522" s="47"/>
      <c r="E522"/>
    </row>
    <row r="523" spans="2:5">
      <c r="B523" s="47"/>
      <c r="E523"/>
    </row>
    <row r="524" spans="2:5">
      <c r="B524" s="47"/>
      <c r="E524"/>
    </row>
    <row r="525" spans="2:5">
      <c r="B525" s="47"/>
      <c r="E525"/>
    </row>
    <row r="526" spans="2:5">
      <c r="B526" s="47"/>
      <c r="E526"/>
    </row>
    <row r="527" spans="2:5">
      <c r="B527" s="47"/>
      <c r="E527"/>
    </row>
    <row r="528" spans="2:5">
      <c r="B528" s="47"/>
      <c r="E528"/>
    </row>
    <row r="529" spans="2:5">
      <c r="B529" s="47"/>
      <c r="E529"/>
    </row>
    <row r="530" spans="2:5">
      <c r="B530" s="47"/>
      <c r="E530"/>
    </row>
    <row r="531" spans="2:5">
      <c r="B531" s="47"/>
      <c r="E531"/>
    </row>
    <row r="532" spans="2:5">
      <c r="B532" s="47"/>
      <c r="E532"/>
    </row>
    <row r="533" spans="2:5">
      <c r="B533" s="47"/>
      <c r="E533"/>
    </row>
    <row r="534" spans="2:5">
      <c r="B534" s="47"/>
      <c r="E534"/>
    </row>
    <row r="535" spans="2:5">
      <c r="B535" s="47"/>
      <c r="E535"/>
    </row>
    <row r="536" spans="2:5">
      <c r="B536" s="47"/>
      <c r="E536"/>
    </row>
    <row r="537" spans="2:5">
      <c r="B537" s="47"/>
      <c r="E537"/>
    </row>
    <row r="538" spans="2:5">
      <c r="B538" s="47"/>
      <c r="E538"/>
    </row>
    <row r="539" spans="2:5">
      <c r="B539" s="47"/>
      <c r="E539"/>
    </row>
    <row r="540" spans="2:5">
      <c r="B540" s="47"/>
      <c r="E540"/>
    </row>
    <row r="541" spans="2:5">
      <c r="B541" s="47"/>
      <c r="E541"/>
    </row>
    <row r="542" spans="2:5">
      <c r="B542" s="47"/>
      <c r="E542"/>
    </row>
    <row r="543" spans="2:5">
      <c r="B543" s="47"/>
      <c r="E543"/>
    </row>
    <row r="544" spans="2:5">
      <c r="B544" s="47"/>
      <c r="E544"/>
    </row>
    <row r="545" spans="2:5">
      <c r="B545" s="47"/>
      <c r="E545"/>
    </row>
    <row r="546" spans="2:5">
      <c r="B546" s="47"/>
      <c r="E546"/>
    </row>
    <row r="547" spans="2:5">
      <c r="B547" s="47"/>
      <c r="E547"/>
    </row>
    <row r="548" spans="2:5">
      <c r="B548" s="47"/>
      <c r="E548"/>
    </row>
    <row r="549" spans="2:5">
      <c r="B549" s="47"/>
      <c r="E549"/>
    </row>
    <row r="550" spans="2:5">
      <c r="B550" s="47"/>
      <c r="E550"/>
    </row>
    <row r="551" spans="2:5">
      <c r="B551" s="47"/>
      <c r="E551"/>
    </row>
    <row r="552" spans="2:5">
      <c r="B552" s="47"/>
      <c r="E552"/>
    </row>
    <row r="553" spans="2:5">
      <c r="B553" s="47"/>
      <c r="E553"/>
    </row>
    <row r="554" spans="2:5">
      <c r="B554" s="47"/>
      <c r="E554"/>
    </row>
    <row r="555" spans="2:5">
      <c r="B555" s="47"/>
      <c r="E555"/>
    </row>
    <row r="556" spans="2:5">
      <c r="B556" s="47"/>
      <c r="E556"/>
    </row>
    <row r="557" spans="2:5">
      <c r="B557" s="47"/>
      <c r="E557"/>
    </row>
    <row r="558" spans="2:5">
      <c r="B558" s="47"/>
      <c r="E558"/>
    </row>
    <row r="559" spans="2:5">
      <c r="B559" s="47"/>
      <c r="E559"/>
    </row>
    <row r="560" spans="2:5">
      <c r="B560" s="47"/>
      <c r="E560"/>
    </row>
    <row r="561" spans="2:5">
      <c r="B561" s="47"/>
      <c r="E561"/>
    </row>
  </sheetData>
  <dataConsolidate/>
  <mergeCells count="77">
    <mergeCell ref="G8:J9"/>
    <mergeCell ref="C5:E5"/>
    <mergeCell ref="C6:E6"/>
    <mergeCell ref="B8:B9"/>
    <mergeCell ref="F8:F9"/>
    <mergeCell ref="C8:E9"/>
    <mergeCell ref="V10:W10"/>
    <mergeCell ref="K8:M8"/>
    <mergeCell ref="N8:P8"/>
    <mergeCell ref="Q8:R9"/>
    <mergeCell ref="S8:U8"/>
    <mergeCell ref="V8:W9"/>
    <mergeCell ref="K9:M9"/>
    <mergeCell ref="N9:O9"/>
    <mergeCell ref="S9:T9"/>
    <mergeCell ref="G10:J10"/>
    <mergeCell ref="K10:M10"/>
    <mergeCell ref="N10:O10"/>
    <mergeCell ref="Q10:R10"/>
    <mergeCell ref="S10:T10"/>
    <mergeCell ref="V12:W12"/>
    <mergeCell ref="G11:J11"/>
    <mergeCell ref="K11:M11"/>
    <mergeCell ref="N11:O11"/>
    <mergeCell ref="Q11:R11"/>
    <mergeCell ref="S11:T11"/>
    <mergeCell ref="V11:W11"/>
    <mergeCell ref="G12:J12"/>
    <mergeCell ref="K12:M12"/>
    <mergeCell ref="N12:O12"/>
    <mergeCell ref="Q12:R12"/>
    <mergeCell ref="S12:T12"/>
    <mergeCell ref="V14:W14"/>
    <mergeCell ref="G13:J13"/>
    <mergeCell ref="K13:M13"/>
    <mergeCell ref="N13:O13"/>
    <mergeCell ref="Q13:R13"/>
    <mergeCell ref="S13:T13"/>
    <mergeCell ref="V13:W13"/>
    <mergeCell ref="G14:J14"/>
    <mergeCell ref="K14:M14"/>
    <mergeCell ref="N14:O14"/>
    <mergeCell ref="Q14:R14"/>
    <mergeCell ref="S14:T14"/>
    <mergeCell ref="V16:W16"/>
    <mergeCell ref="G15:J15"/>
    <mergeCell ref="K15:M15"/>
    <mergeCell ref="N15:O15"/>
    <mergeCell ref="Q15:R15"/>
    <mergeCell ref="S15:T15"/>
    <mergeCell ref="V15:W15"/>
    <mergeCell ref="G16:J16"/>
    <mergeCell ref="K16:M16"/>
    <mergeCell ref="N16:O16"/>
    <mergeCell ref="Q16:R16"/>
    <mergeCell ref="S16:T16"/>
    <mergeCell ref="V18:W18"/>
    <mergeCell ref="G17:J17"/>
    <mergeCell ref="K17:M17"/>
    <mergeCell ref="N17:O17"/>
    <mergeCell ref="Q17:R17"/>
    <mergeCell ref="S17:T17"/>
    <mergeCell ref="V17:W17"/>
    <mergeCell ref="G18:J18"/>
    <mergeCell ref="K18:M18"/>
    <mergeCell ref="N18:O18"/>
    <mergeCell ref="Q18:R18"/>
    <mergeCell ref="S18:T18"/>
    <mergeCell ref="G20:J20"/>
    <mergeCell ref="W22:X22"/>
    <mergeCell ref="A23:A24"/>
    <mergeCell ref="G19:J19"/>
    <mergeCell ref="K19:M19"/>
    <mergeCell ref="N19:O19"/>
    <mergeCell ref="Q19:R19"/>
    <mergeCell ref="S19:T19"/>
    <mergeCell ref="V19:W19"/>
  </mergeCells>
  <conditionalFormatting sqref="N8:R19">
    <cfRule type="expression" dxfId="2" priority="4" stopIfTrue="1">
      <formula>#REF!="Recurring Journal"</formula>
    </cfRule>
  </conditionalFormatting>
  <conditionalFormatting sqref="K8:M19">
    <cfRule type="expression" dxfId="1" priority="5" stopIfTrue="1">
      <formula>#REF!="Accrual with auto reversal"</formula>
    </cfRule>
  </conditionalFormatting>
  <conditionalFormatting sqref="S8:W19">
    <cfRule type="expression" dxfId="0" priority="6" stopIfTrue="1">
      <formula>#REF!="Post with Clearing Journal"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ED8468-B3E8-44E7-BF33-A07EEC61A977}">
          <x14:formula1>
            <xm:f>'C:\Users\kzbp117\Box Sync\AZ Robotic &amp; Cognitive Centre - Delivery\02 Phase 2 Onwards\Finance\239 - GST Rebate Claim and Processing\02. Plan Phase\[JV Template.xlsx]Data'!#REF!</xm:f>
          </x14:formula1>
          <xm:sqref>C6:E6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10AA0-64C2-40F1-A2FE-8EE808A483E1}">
  <sheetPr codeName="Sheet7"/>
  <dimension ref="A7:A8"/>
  <sheetViews>
    <sheetView workbookViewId="0">
      <selection activeCell="F10" sqref="F10"/>
    </sheetView>
  </sheetViews>
  <sheetFormatPr defaultRowHeight="14.5"/>
  <cols>
    <col min="9" max="9" width="11.453125" customWidth="1"/>
  </cols>
  <sheetData>
    <row r="7" ht="33.5" customHeight="1"/>
    <row r="8" ht="19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JV_Creation_FromButtion">
                <anchor moveWithCells="1" sizeWithCells="1">
                  <from>
                    <xdr:col>7</xdr:col>
                    <xdr:colOff>571500</xdr:colOff>
                    <xdr:row>6</xdr:row>
                    <xdr:rowOff>12700</xdr:rowOff>
                  </from>
                  <to>
                    <xdr:col>10</xdr:col>
                    <xdr:colOff>368300</xdr:colOff>
                    <xdr:row>7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8CB70-8CD0-4D57-8265-BC124CFB4406}">
  <sheetPr codeName="Sheet1"/>
  <dimension ref="A1:Z152"/>
  <sheetViews>
    <sheetView topLeftCell="H1" workbookViewId="0">
      <selection activeCell="H15" sqref="H15"/>
    </sheetView>
  </sheetViews>
  <sheetFormatPr defaultRowHeight="14.5"/>
  <cols>
    <col min="1" max="1" width="15.81640625" customWidth="1"/>
    <col min="2" max="2" width="8.7265625" style="75"/>
    <col min="3" max="3" width="25.26953125" style="47" customWidth="1"/>
    <col min="4" max="4" width="17.81640625" style="47" customWidth="1"/>
    <col min="5" max="5" width="35.54296875" style="77" bestFit="1" customWidth="1"/>
    <col min="6" max="6" width="18.54296875" style="47" customWidth="1"/>
    <col min="7" max="7" width="17.6328125" bestFit="1" customWidth="1"/>
    <col min="8" max="8" width="43.54296875" bestFit="1" customWidth="1"/>
    <col min="10" max="10" width="17.453125" style="47" bestFit="1" customWidth="1"/>
    <col min="12" max="12" width="8.7265625" style="63"/>
    <col min="19" max="19" width="15.36328125" bestFit="1" customWidth="1"/>
    <col min="20" max="20" width="13.36328125" hidden="1" customWidth="1"/>
    <col min="21" max="21" width="7.08984375" hidden="1" customWidth="1"/>
    <col min="22" max="22" width="153.26953125" hidden="1" customWidth="1"/>
    <col min="23" max="23" width="151.1796875" hidden="1" customWidth="1"/>
    <col min="24" max="24" width="10.26953125" hidden="1" customWidth="1"/>
  </cols>
  <sheetData>
    <row r="1" spans="1:26">
      <c r="A1" s="3" t="s">
        <v>141</v>
      </c>
      <c r="B1" s="3" t="s">
        <v>142</v>
      </c>
      <c r="C1" s="49" t="s">
        <v>143</v>
      </c>
      <c r="D1" s="49" t="s">
        <v>144</v>
      </c>
      <c r="E1" s="49" t="s">
        <v>145</v>
      </c>
      <c r="F1" s="46" t="s">
        <v>146</v>
      </c>
      <c r="G1" s="3" t="s">
        <v>147</v>
      </c>
      <c r="H1" s="3" t="s">
        <v>148</v>
      </c>
      <c r="I1" s="3" t="s">
        <v>149</v>
      </c>
      <c r="J1" s="46" t="s">
        <v>150</v>
      </c>
      <c r="K1" s="3" t="s">
        <v>151</v>
      </c>
      <c r="L1" s="74" t="s">
        <v>152</v>
      </c>
      <c r="M1" s="43" t="s">
        <v>153</v>
      </c>
      <c r="N1" s="3" t="s">
        <v>154</v>
      </c>
      <c r="O1" s="3" t="s">
        <v>155</v>
      </c>
      <c r="P1" s="3" t="s">
        <v>156</v>
      </c>
      <c r="Q1" s="3" t="s">
        <v>157</v>
      </c>
      <c r="R1" s="3" t="s">
        <v>158</v>
      </c>
      <c r="S1" s="3" t="s">
        <v>159</v>
      </c>
      <c r="T1" s="4" t="s">
        <v>160</v>
      </c>
      <c r="U1" s="4" t="s">
        <v>161</v>
      </c>
      <c r="V1" s="4" t="s">
        <v>162</v>
      </c>
      <c r="W1" s="4" t="s">
        <v>163</v>
      </c>
      <c r="X1" s="4" t="s">
        <v>64</v>
      </c>
      <c r="Y1" s="4" t="s">
        <v>177</v>
      </c>
      <c r="Z1" t="s">
        <v>183</v>
      </c>
    </row>
    <row r="2" spans="1:26">
      <c r="A2" t="s">
        <v>207</v>
      </c>
      <c r="B2" s="75" t="s">
        <v>208</v>
      </c>
      <c r="C2" s="47" t="s">
        <v>165</v>
      </c>
      <c r="D2" s="47" t="s">
        <v>165</v>
      </c>
      <c r="E2" s="76" t="s">
        <v>209</v>
      </c>
      <c r="F2" s="47" t="s">
        <v>137</v>
      </c>
      <c r="G2" t="s">
        <v>210</v>
      </c>
      <c r="H2" t="s">
        <v>164</v>
      </c>
      <c r="J2" s="47" t="s">
        <v>211</v>
      </c>
      <c r="L2" s="63" t="s">
        <v>212</v>
      </c>
      <c r="M2">
        <v>53877</v>
      </c>
      <c r="N2">
        <v>47710</v>
      </c>
      <c r="O2">
        <v>0</v>
      </c>
      <c r="P2">
        <v>0</v>
      </c>
      <c r="Q2">
        <v>2386</v>
      </c>
      <c r="R2">
        <v>0</v>
      </c>
      <c r="S2">
        <v>56263</v>
      </c>
      <c r="T2" t="s">
        <v>213</v>
      </c>
      <c r="U2" t="s">
        <v>186</v>
      </c>
      <c r="V2" t="s">
        <v>248</v>
      </c>
      <c r="W2" t="s">
        <v>249</v>
      </c>
      <c r="X2" s="73" t="str">
        <f>HYPERLINK(V2,"Open CSV")</f>
        <v>Open CSV</v>
      </c>
      <c r="Y2" s="73" t="str">
        <f>HYPERLINK(W2,"Open PDF")</f>
        <v>Open PDF</v>
      </c>
      <c r="Z2" t="s">
        <v>186</v>
      </c>
    </row>
    <row r="3" spans="1:26">
      <c r="A3" t="s">
        <v>207</v>
      </c>
      <c r="B3" s="75" t="s">
        <v>208</v>
      </c>
      <c r="C3" s="47" t="s">
        <v>165</v>
      </c>
      <c r="D3" s="47" t="s">
        <v>165</v>
      </c>
      <c r="E3" s="76" t="s">
        <v>214</v>
      </c>
      <c r="F3" s="47" t="s">
        <v>215</v>
      </c>
      <c r="G3" t="s">
        <v>210</v>
      </c>
      <c r="H3" t="s">
        <v>164</v>
      </c>
      <c r="J3" s="47" t="s">
        <v>216</v>
      </c>
      <c r="L3" s="63" t="s">
        <v>212</v>
      </c>
      <c r="M3">
        <v>47523</v>
      </c>
      <c r="N3">
        <v>41292</v>
      </c>
      <c r="O3">
        <v>0</v>
      </c>
      <c r="P3">
        <v>0</v>
      </c>
      <c r="Q3">
        <v>2065</v>
      </c>
      <c r="R3">
        <v>0</v>
      </c>
      <c r="S3">
        <v>49588</v>
      </c>
      <c r="T3" t="s">
        <v>213</v>
      </c>
      <c r="U3" t="s">
        <v>186</v>
      </c>
      <c r="V3" t="s">
        <v>250</v>
      </c>
      <c r="W3" t="s">
        <v>251</v>
      </c>
      <c r="X3" s="73" t="str">
        <f t="shared" ref="X3:X17" si="0">HYPERLINK(V3,"Open CSV")</f>
        <v>Open CSV</v>
      </c>
      <c r="Y3" s="73" t="str">
        <f t="shared" ref="Y3:Y17" si="1">HYPERLINK(W3,"Open PDF")</f>
        <v>Open PDF</v>
      </c>
      <c r="Z3" t="s">
        <v>186</v>
      </c>
    </row>
    <row r="4" spans="1:26">
      <c r="A4" t="s">
        <v>207</v>
      </c>
      <c r="B4" s="75" t="s">
        <v>208</v>
      </c>
      <c r="C4" s="47" t="s">
        <v>165</v>
      </c>
      <c r="D4" s="47" t="s">
        <v>165</v>
      </c>
      <c r="E4" s="76" t="s">
        <v>217</v>
      </c>
      <c r="F4" s="47" t="s">
        <v>215</v>
      </c>
      <c r="G4" t="s">
        <v>210</v>
      </c>
      <c r="H4" t="s">
        <v>164</v>
      </c>
      <c r="J4" s="47" t="s">
        <v>218</v>
      </c>
      <c r="L4" s="63" t="s">
        <v>212</v>
      </c>
      <c r="M4">
        <v>47523</v>
      </c>
      <c r="N4">
        <v>41292</v>
      </c>
      <c r="O4" s="51">
        <v>0</v>
      </c>
      <c r="P4" s="51">
        <v>0</v>
      </c>
      <c r="Q4">
        <v>2065</v>
      </c>
      <c r="R4">
        <v>0</v>
      </c>
      <c r="S4">
        <v>49588</v>
      </c>
      <c r="T4" t="s">
        <v>213</v>
      </c>
      <c r="U4" t="s">
        <v>186</v>
      </c>
      <c r="V4" t="s">
        <v>252</v>
      </c>
      <c r="W4" t="s">
        <v>253</v>
      </c>
      <c r="X4" s="73" t="str">
        <f t="shared" si="0"/>
        <v>Open CSV</v>
      </c>
      <c r="Y4" s="73" t="str">
        <f t="shared" si="1"/>
        <v>Open PDF</v>
      </c>
      <c r="Z4" t="s">
        <v>186</v>
      </c>
    </row>
    <row r="5" spans="1:26">
      <c r="A5" t="s">
        <v>207</v>
      </c>
      <c r="B5" s="75" t="s">
        <v>208</v>
      </c>
      <c r="C5" s="47" t="s">
        <v>165</v>
      </c>
      <c r="D5" s="47" t="s">
        <v>165</v>
      </c>
      <c r="E5" s="76" t="s">
        <v>217</v>
      </c>
      <c r="F5" s="47" t="s">
        <v>215</v>
      </c>
      <c r="G5" t="s">
        <v>210</v>
      </c>
      <c r="H5" t="s">
        <v>164</v>
      </c>
      <c r="J5" s="47" t="s">
        <v>218</v>
      </c>
      <c r="L5" s="63" t="s">
        <v>212</v>
      </c>
      <c r="M5">
        <v>47523</v>
      </c>
      <c r="N5">
        <v>41292</v>
      </c>
      <c r="O5">
        <v>0</v>
      </c>
      <c r="P5">
        <v>0</v>
      </c>
      <c r="Q5">
        <v>2065</v>
      </c>
      <c r="R5">
        <v>0</v>
      </c>
      <c r="S5">
        <v>49588</v>
      </c>
      <c r="T5" t="s">
        <v>213</v>
      </c>
      <c r="U5" t="s">
        <v>186</v>
      </c>
      <c r="V5" t="s">
        <v>254</v>
      </c>
      <c r="W5" t="s">
        <v>255</v>
      </c>
      <c r="X5" s="73" t="str">
        <f t="shared" si="0"/>
        <v>Open CSV</v>
      </c>
      <c r="Y5" s="73" t="str">
        <f t="shared" si="1"/>
        <v>Open PDF</v>
      </c>
      <c r="Z5" t="s">
        <v>186</v>
      </c>
    </row>
    <row r="6" spans="1:26">
      <c r="A6" t="s">
        <v>207</v>
      </c>
      <c r="B6" s="75" t="s">
        <v>208</v>
      </c>
      <c r="C6" s="47" t="s">
        <v>165</v>
      </c>
      <c r="D6" s="47" t="s">
        <v>165</v>
      </c>
      <c r="E6" s="76" t="s">
        <v>219</v>
      </c>
      <c r="F6" s="47" t="s">
        <v>135</v>
      </c>
      <c r="G6" t="s">
        <v>210</v>
      </c>
      <c r="H6" t="s">
        <v>164</v>
      </c>
      <c r="J6" s="47" t="s">
        <v>220</v>
      </c>
      <c r="L6" s="63" t="s">
        <v>212</v>
      </c>
      <c r="M6">
        <v>47495</v>
      </c>
      <c r="N6">
        <v>41266</v>
      </c>
      <c r="O6">
        <v>0</v>
      </c>
      <c r="P6">
        <v>0</v>
      </c>
      <c r="Q6">
        <v>2064</v>
      </c>
      <c r="R6">
        <v>0</v>
      </c>
      <c r="S6">
        <v>49559</v>
      </c>
      <c r="T6" t="s">
        <v>213</v>
      </c>
      <c r="U6" t="s">
        <v>186</v>
      </c>
      <c r="V6" t="s">
        <v>256</v>
      </c>
      <c r="W6" t="s">
        <v>257</v>
      </c>
      <c r="X6" s="73" t="str">
        <f t="shared" si="0"/>
        <v>Open CSV</v>
      </c>
      <c r="Y6" s="73" t="str">
        <f t="shared" si="1"/>
        <v>Open PDF</v>
      </c>
      <c r="Z6" t="s">
        <v>186</v>
      </c>
    </row>
    <row r="7" spans="1:26">
      <c r="A7" t="s">
        <v>207</v>
      </c>
      <c r="B7" s="75" t="s">
        <v>208</v>
      </c>
      <c r="C7" s="47" t="s">
        <v>165</v>
      </c>
      <c r="D7" s="47" t="s">
        <v>165</v>
      </c>
      <c r="E7" s="76" t="s">
        <v>219</v>
      </c>
      <c r="F7" s="47" t="s">
        <v>135</v>
      </c>
      <c r="G7" t="s">
        <v>210</v>
      </c>
      <c r="H7" t="s">
        <v>164</v>
      </c>
      <c r="J7" s="47" t="s">
        <v>220</v>
      </c>
      <c r="L7" s="63" t="s">
        <v>212</v>
      </c>
      <c r="M7">
        <v>47495</v>
      </c>
      <c r="N7">
        <v>41266</v>
      </c>
      <c r="O7" s="51">
        <v>0</v>
      </c>
      <c r="P7" s="51">
        <v>0</v>
      </c>
      <c r="Q7">
        <v>2064</v>
      </c>
      <c r="R7">
        <v>0</v>
      </c>
      <c r="S7">
        <v>49559</v>
      </c>
      <c r="T7" t="s">
        <v>213</v>
      </c>
      <c r="U7" t="s">
        <v>186</v>
      </c>
      <c r="V7" t="s">
        <v>258</v>
      </c>
      <c r="W7" t="s">
        <v>259</v>
      </c>
      <c r="X7" s="73" t="str">
        <f t="shared" si="0"/>
        <v>Open CSV</v>
      </c>
      <c r="Y7" s="73" t="str">
        <f t="shared" si="1"/>
        <v>Open PDF</v>
      </c>
      <c r="Z7" t="s">
        <v>186</v>
      </c>
    </row>
    <row r="8" spans="1:26">
      <c r="A8" t="s">
        <v>207</v>
      </c>
      <c r="B8" s="75" t="s">
        <v>208</v>
      </c>
      <c r="C8" s="47" t="s">
        <v>165</v>
      </c>
      <c r="D8" s="47" t="s">
        <v>165</v>
      </c>
      <c r="E8" s="76" t="s">
        <v>221</v>
      </c>
      <c r="F8" s="47" t="s">
        <v>135</v>
      </c>
      <c r="G8" t="s">
        <v>210</v>
      </c>
      <c r="H8" t="s">
        <v>164</v>
      </c>
      <c r="J8" s="47" t="s">
        <v>222</v>
      </c>
      <c r="L8" s="63" t="s">
        <v>212</v>
      </c>
      <c r="M8">
        <v>47495</v>
      </c>
      <c r="N8">
        <v>41266</v>
      </c>
      <c r="O8" s="51">
        <v>0</v>
      </c>
      <c r="P8" s="51">
        <v>0</v>
      </c>
      <c r="Q8">
        <v>2064</v>
      </c>
      <c r="R8">
        <v>0</v>
      </c>
      <c r="S8">
        <v>49559</v>
      </c>
      <c r="T8" t="s">
        <v>213</v>
      </c>
      <c r="U8" t="s">
        <v>186</v>
      </c>
      <c r="V8" t="s">
        <v>260</v>
      </c>
      <c r="W8" t="s">
        <v>261</v>
      </c>
      <c r="X8" s="73" t="str">
        <f t="shared" si="0"/>
        <v>Open CSV</v>
      </c>
      <c r="Y8" s="73" t="str">
        <f t="shared" si="1"/>
        <v>Open PDF</v>
      </c>
      <c r="Z8" t="s">
        <v>186</v>
      </c>
    </row>
    <row r="9" spans="1:26">
      <c r="A9" t="s">
        <v>207</v>
      </c>
      <c r="B9" s="75" t="s">
        <v>208</v>
      </c>
      <c r="C9" s="47" t="s">
        <v>165</v>
      </c>
      <c r="D9" s="47" t="s">
        <v>165</v>
      </c>
      <c r="E9" s="76" t="s">
        <v>221</v>
      </c>
      <c r="F9" s="47" t="s">
        <v>135</v>
      </c>
      <c r="G9" t="s">
        <v>210</v>
      </c>
      <c r="H9" t="s">
        <v>164</v>
      </c>
      <c r="J9" s="47" t="s">
        <v>222</v>
      </c>
      <c r="L9" s="63" t="s">
        <v>212</v>
      </c>
      <c r="M9">
        <v>47495</v>
      </c>
      <c r="N9">
        <v>41266</v>
      </c>
      <c r="O9" s="51">
        <v>0</v>
      </c>
      <c r="P9" s="51">
        <v>0</v>
      </c>
      <c r="Q9" s="51">
        <v>2064</v>
      </c>
      <c r="R9">
        <v>0</v>
      </c>
      <c r="S9">
        <v>49559</v>
      </c>
      <c r="T9" t="s">
        <v>213</v>
      </c>
      <c r="U9" t="s">
        <v>186</v>
      </c>
      <c r="V9" t="s">
        <v>262</v>
      </c>
      <c r="W9" t="s">
        <v>263</v>
      </c>
      <c r="X9" s="73" t="str">
        <f t="shared" si="0"/>
        <v>Open CSV</v>
      </c>
      <c r="Y9" s="73" t="str">
        <f t="shared" si="1"/>
        <v>Open PDF</v>
      </c>
      <c r="Z9" t="s">
        <v>186</v>
      </c>
    </row>
    <row r="10" spans="1:26">
      <c r="A10" t="s">
        <v>127</v>
      </c>
      <c r="B10" s="75" t="s">
        <v>136</v>
      </c>
      <c r="C10" s="47" t="s">
        <v>165</v>
      </c>
      <c r="D10" s="47" t="s">
        <v>165</v>
      </c>
      <c r="E10" s="76" t="s">
        <v>187</v>
      </c>
      <c r="F10" s="47" t="s">
        <v>188</v>
      </c>
      <c r="G10" t="s">
        <v>184</v>
      </c>
      <c r="H10" t="s">
        <v>164</v>
      </c>
      <c r="J10" s="47" t="s">
        <v>189</v>
      </c>
      <c r="L10" s="63" t="s">
        <v>178</v>
      </c>
      <c r="M10">
        <v>27014</v>
      </c>
      <c r="N10">
        <v>25753</v>
      </c>
      <c r="O10">
        <v>0</v>
      </c>
      <c r="P10">
        <v>0</v>
      </c>
      <c r="Q10" s="51">
        <v>1288</v>
      </c>
      <c r="S10">
        <v>28302</v>
      </c>
      <c r="T10" t="s">
        <v>185</v>
      </c>
      <c r="U10" t="s">
        <v>186</v>
      </c>
      <c r="V10" t="s">
        <v>232</v>
      </c>
      <c r="W10" t="s">
        <v>233</v>
      </c>
      <c r="X10" s="73" t="str">
        <f t="shared" si="0"/>
        <v>Open CSV</v>
      </c>
      <c r="Y10" s="73" t="str">
        <f t="shared" si="1"/>
        <v>Open PDF</v>
      </c>
      <c r="Z10" t="s">
        <v>186</v>
      </c>
    </row>
    <row r="11" spans="1:26">
      <c r="A11" t="s">
        <v>127</v>
      </c>
      <c r="B11" s="75" t="s">
        <v>136</v>
      </c>
      <c r="C11" s="47" t="s">
        <v>165</v>
      </c>
      <c r="D11" s="47" t="s">
        <v>165</v>
      </c>
      <c r="E11" s="76" t="s">
        <v>190</v>
      </c>
      <c r="F11" s="47" t="s">
        <v>188</v>
      </c>
      <c r="G11" t="s">
        <v>184</v>
      </c>
      <c r="H11" t="s">
        <v>164</v>
      </c>
      <c r="J11" s="47" t="s">
        <v>191</v>
      </c>
      <c r="L11" s="63" t="s">
        <v>178</v>
      </c>
      <c r="M11">
        <v>360754</v>
      </c>
      <c r="N11">
        <v>354171</v>
      </c>
      <c r="O11">
        <v>0</v>
      </c>
      <c r="P11">
        <v>0</v>
      </c>
      <c r="Q11">
        <v>42501</v>
      </c>
      <c r="S11">
        <v>403255</v>
      </c>
      <c r="T11" t="s">
        <v>185</v>
      </c>
      <c r="U11" t="s">
        <v>186</v>
      </c>
      <c r="V11" t="s">
        <v>234</v>
      </c>
      <c r="W11" t="s">
        <v>235</v>
      </c>
      <c r="X11" s="73" t="str">
        <f t="shared" si="0"/>
        <v>Open CSV</v>
      </c>
      <c r="Y11" s="73" t="str">
        <f t="shared" si="1"/>
        <v>Open PDF</v>
      </c>
      <c r="Z11" t="s">
        <v>186</v>
      </c>
    </row>
    <row r="12" spans="1:26">
      <c r="A12" t="s">
        <v>127</v>
      </c>
      <c r="B12" s="75" t="s">
        <v>136</v>
      </c>
      <c r="C12" s="47" t="s">
        <v>165</v>
      </c>
      <c r="D12" s="47" t="s">
        <v>165</v>
      </c>
      <c r="E12" s="76" t="s">
        <v>192</v>
      </c>
      <c r="F12" s="47" t="s">
        <v>188</v>
      </c>
      <c r="G12" t="s">
        <v>184</v>
      </c>
      <c r="H12" t="s">
        <v>164</v>
      </c>
      <c r="J12" s="47" t="s">
        <v>193</v>
      </c>
      <c r="L12" s="63" t="s">
        <v>178</v>
      </c>
      <c r="M12">
        <v>408309</v>
      </c>
      <c r="N12">
        <v>401726</v>
      </c>
      <c r="O12" s="51">
        <v>0</v>
      </c>
      <c r="P12" s="51">
        <v>0</v>
      </c>
      <c r="Q12">
        <v>48208</v>
      </c>
      <c r="S12">
        <v>456517</v>
      </c>
      <c r="T12" t="s">
        <v>185</v>
      </c>
      <c r="U12" t="s">
        <v>186</v>
      </c>
      <c r="V12" t="s">
        <v>236</v>
      </c>
      <c r="W12" t="s">
        <v>237</v>
      </c>
      <c r="X12" s="73" t="str">
        <f t="shared" si="0"/>
        <v>Open CSV</v>
      </c>
      <c r="Y12" s="73" t="str">
        <f t="shared" si="1"/>
        <v>Open PDF</v>
      </c>
      <c r="Z12" t="s">
        <v>186</v>
      </c>
    </row>
    <row r="13" spans="1:26">
      <c r="A13" t="s">
        <v>127</v>
      </c>
      <c r="B13" s="75" t="s">
        <v>136</v>
      </c>
      <c r="C13" s="47" t="s">
        <v>165</v>
      </c>
      <c r="D13" s="47" t="s">
        <v>165</v>
      </c>
      <c r="E13" s="76" t="s">
        <v>194</v>
      </c>
      <c r="F13" s="47" t="s">
        <v>188</v>
      </c>
      <c r="G13" t="s">
        <v>184</v>
      </c>
      <c r="H13" t="s">
        <v>164</v>
      </c>
      <c r="J13" s="47" t="s">
        <v>195</v>
      </c>
      <c r="L13" s="63" t="s">
        <v>178</v>
      </c>
      <c r="M13">
        <v>301579</v>
      </c>
      <c r="N13">
        <v>294996</v>
      </c>
      <c r="O13">
        <v>0</v>
      </c>
      <c r="P13">
        <v>0</v>
      </c>
      <c r="Q13">
        <v>35400</v>
      </c>
      <c r="S13">
        <v>336979</v>
      </c>
      <c r="T13" t="s">
        <v>185</v>
      </c>
      <c r="U13" t="s">
        <v>186</v>
      </c>
      <c r="V13" t="s">
        <v>238</v>
      </c>
      <c r="W13" t="s">
        <v>239</v>
      </c>
      <c r="X13" s="73" t="str">
        <f t="shared" si="0"/>
        <v>Open CSV</v>
      </c>
      <c r="Y13" s="73" t="str">
        <f t="shared" si="1"/>
        <v>Open PDF</v>
      </c>
      <c r="Z13" t="s">
        <v>186</v>
      </c>
    </row>
    <row r="14" spans="1:26">
      <c r="A14" t="s">
        <v>127</v>
      </c>
      <c r="B14" s="75" t="s">
        <v>166</v>
      </c>
      <c r="C14" s="47" t="s">
        <v>165</v>
      </c>
      <c r="D14" s="47" t="s">
        <v>165</v>
      </c>
      <c r="E14" s="76" t="s">
        <v>196</v>
      </c>
      <c r="F14" s="47" t="s">
        <v>197</v>
      </c>
      <c r="G14" t="s">
        <v>184</v>
      </c>
      <c r="H14" t="s">
        <v>164</v>
      </c>
      <c r="J14" s="47" t="s">
        <v>198</v>
      </c>
      <c r="L14" s="63" t="s">
        <v>178</v>
      </c>
      <c r="M14">
        <v>182874</v>
      </c>
      <c r="N14">
        <v>161285</v>
      </c>
      <c r="O14" s="51">
        <v>0</v>
      </c>
      <c r="P14" s="51">
        <v>0</v>
      </c>
      <c r="Q14">
        <v>19355</v>
      </c>
      <c r="S14">
        <v>202229</v>
      </c>
      <c r="T14" t="s">
        <v>185</v>
      </c>
      <c r="U14" t="s">
        <v>186</v>
      </c>
      <c r="V14" t="s">
        <v>240</v>
      </c>
      <c r="W14" t="s">
        <v>241</v>
      </c>
      <c r="X14" s="73" t="str">
        <f t="shared" si="0"/>
        <v>Open CSV</v>
      </c>
      <c r="Y14" s="73" t="str">
        <f t="shared" si="1"/>
        <v>Open PDF</v>
      </c>
      <c r="Z14" t="s">
        <v>186</v>
      </c>
    </row>
    <row r="15" spans="1:26">
      <c r="A15" t="s">
        <v>127</v>
      </c>
      <c r="B15" s="75" t="s">
        <v>166</v>
      </c>
      <c r="C15" s="47" t="s">
        <v>165</v>
      </c>
      <c r="D15" s="47" t="s">
        <v>165</v>
      </c>
      <c r="E15" s="76" t="s">
        <v>199</v>
      </c>
      <c r="F15" s="47" t="s">
        <v>200</v>
      </c>
      <c r="G15" t="s">
        <v>184</v>
      </c>
      <c r="H15" t="s">
        <v>164</v>
      </c>
      <c r="J15" s="47" t="s">
        <v>201</v>
      </c>
      <c r="L15" s="63" t="s">
        <v>178</v>
      </c>
      <c r="M15">
        <v>179033</v>
      </c>
      <c r="N15">
        <v>159999</v>
      </c>
      <c r="O15">
        <v>0</v>
      </c>
      <c r="P15">
        <v>0</v>
      </c>
      <c r="Q15" s="51">
        <v>19200</v>
      </c>
      <c r="S15">
        <v>198233</v>
      </c>
      <c r="T15" t="s">
        <v>185</v>
      </c>
      <c r="U15" t="s">
        <v>186</v>
      </c>
      <c r="V15" t="s">
        <v>242</v>
      </c>
      <c r="W15" t="s">
        <v>243</v>
      </c>
      <c r="X15" s="73" t="str">
        <f t="shared" si="0"/>
        <v>Open CSV</v>
      </c>
      <c r="Y15" s="73" t="str">
        <f t="shared" si="1"/>
        <v>Open PDF</v>
      </c>
      <c r="Z15" t="s">
        <v>186</v>
      </c>
    </row>
    <row r="16" spans="1:26">
      <c r="A16" t="s">
        <v>127</v>
      </c>
      <c r="B16" s="75" t="s">
        <v>166</v>
      </c>
      <c r="C16" s="47" t="s">
        <v>165</v>
      </c>
      <c r="D16" s="47" t="s">
        <v>165</v>
      </c>
      <c r="E16" s="76" t="s">
        <v>202</v>
      </c>
      <c r="F16" s="47" t="s">
        <v>203</v>
      </c>
      <c r="G16" t="s">
        <v>184</v>
      </c>
      <c r="H16" t="s">
        <v>164</v>
      </c>
      <c r="J16" s="47" t="s">
        <v>204</v>
      </c>
      <c r="L16" s="63" t="s">
        <v>178</v>
      </c>
      <c r="M16">
        <v>185109</v>
      </c>
      <c r="N16">
        <v>162594</v>
      </c>
      <c r="O16" s="51">
        <v>0</v>
      </c>
      <c r="P16" s="51">
        <v>0</v>
      </c>
      <c r="Q16">
        <v>19512</v>
      </c>
      <c r="S16">
        <v>204621</v>
      </c>
      <c r="T16" t="s">
        <v>185</v>
      </c>
      <c r="U16" t="s">
        <v>186</v>
      </c>
      <c r="V16" t="s">
        <v>244</v>
      </c>
      <c r="W16" t="s">
        <v>245</v>
      </c>
      <c r="X16" s="73" t="str">
        <f t="shared" si="0"/>
        <v>Open CSV</v>
      </c>
      <c r="Y16" s="73" t="str">
        <f t="shared" si="1"/>
        <v>Open PDF</v>
      </c>
      <c r="Z16" t="s">
        <v>186</v>
      </c>
    </row>
    <row r="17" spans="1:26">
      <c r="A17" t="s">
        <v>127</v>
      </c>
      <c r="B17" s="75" t="s">
        <v>166</v>
      </c>
      <c r="C17" s="47" t="s">
        <v>165</v>
      </c>
      <c r="D17" s="47" t="s">
        <v>165</v>
      </c>
      <c r="E17" s="76" t="s">
        <v>205</v>
      </c>
      <c r="F17" s="47" t="s">
        <v>203</v>
      </c>
      <c r="G17" t="s">
        <v>184</v>
      </c>
      <c r="H17" t="s">
        <v>164</v>
      </c>
      <c r="J17" s="47" t="s">
        <v>206</v>
      </c>
      <c r="L17" s="63" t="s">
        <v>178</v>
      </c>
      <c r="M17">
        <v>185109</v>
      </c>
      <c r="N17">
        <v>162594</v>
      </c>
      <c r="O17">
        <v>0</v>
      </c>
      <c r="P17">
        <v>0</v>
      </c>
      <c r="Q17">
        <v>19512</v>
      </c>
      <c r="S17">
        <v>204621</v>
      </c>
      <c r="T17" t="s">
        <v>185</v>
      </c>
      <c r="U17" t="s">
        <v>186</v>
      </c>
      <c r="V17" t="s">
        <v>246</v>
      </c>
      <c r="W17" t="s">
        <v>247</v>
      </c>
      <c r="X17" s="73" t="str">
        <f t="shared" si="0"/>
        <v>Open CSV</v>
      </c>
      <c r="Y17" s="73" t="str">
        <f t="shared" si="1"/>
        <v>Open PDF</v>
      </c>
      <c r="Z17" t="s">
        <v>186</v>
      </c>
    </row>
    <row r="18" spans="1:26">
      <c r="O18" s="51"/>
      <c r="P18" s="51"/>
      <c r="X18" s="73"/>
      <c r="Y18" s="73"/>
    </row>
    <row r="19" spans="1:26">
      <c r="O19" s="51"/>
      <c r="P19" s="51"/>
      <c r="X19" s="73"/>
      <c r="Y19" s="73"/>
    </row>
    <row r="20" spans="1:26">
      <c r="O20" s="51"/>
      <c r="P20" s="51"/>
      <c r="Q20" s="51"/>
      <c r="X20" s="73"/>
      <c r="Y20" s="73"/>
    </row>
    <row r="21" spans="1:26">
      <c r="O21" s="51"/>
      <c r="P21" s="51"/>
      <c r="X21" s="73"/>
      <c r="Y21" s="73"/>
    </row>
    <row r="22" spans="1:26">
      <c r="O22" s="51"/>
      <c r="P22" s="51"/>
      <c r="X22" s="73"/>
      <c r="Y22" s="73"/>
    </row>
    <row r="23" spans="1:26">
      <c r="X23" s="73"/>
      <c r="Y23" s="73"/>
    </row>
    <row r="24" spans="1:26">
      <c r="X24" s="73"/>
      <c r="Y24" s="73"/>
    </row>
    <row r="25" spans="1:26">
      <c r="X25" s="73"/>
      <c r="Y25" s="73"/>
    </row>
    <row r="26" spans="1:26">
      <c r="X26" s="73"/>
      <c r="Y26" s="73"/>
    </row>
    <row r="27" spans="1:26">
      <c r="X27" s="73"/>
      <c r="Y27" s="73"/>
    </row>
    <row r="28" spans="1:26">
      <c r="X28" s="73"/>
      <c r="Y28" s="73"/>
    </row>
    <row r="29" spans="1:26">
      <c r="O29" s="51"/>
      <c r="P29" s="51"/>
      <c r="X29" s="73"/>
      <c r="Y29" s="73"/>
    </row>
    <row r="30" spans="1:26">
      <c r="O30" s="51"/>
      <c r="P30" s="51"/>
      <c r="X30" s="73"/>
      <c r="Y30" s="73"/>
    </row>
    <row r="31" spans="1:26" ht="14" customHeight="1">
      <c r="O31" s="51"/>
      <c r="P31" s="51"/>
      <c r="X31" s="73"/>
      <c r="Y31" s="73"/>
    </row>
    <row r="32" spans="1:26">
      <c r="Q32" s="51"/>
      <c r="X32" s="73"/>
      <c r="Y32" s="73"/>
    </row>
    <row r="33" spans="15:25">
      <c r="X33" s="73"/>
      <c r="Y33" s="73"/>
    </row>
    <row r="34" spans="15:25">
      <c r="X34" s="73"/>
      <c r="Y34" s="73"/>
    </row>
    <row r="35" spans="15:25">
      <c r="X35" s="73"/>
      <c r="Y35" s="73"/>
    </row>
    <row r="36" spans="15:25">
      <c r="X36" s="73"/>
      <c r="Y36" s="73"/>
    </row>
    <row r="37" spans="15:25">
      <c r="X37" s="73"/>
      <c r="Y37" s="73"/>
    </row>
    <row r="38" spans="15:25">
      <c r="X38" s="73"/>
      <c r="Y38" s="73"/>
    </row>
    <row r="39" spans="15:25">
      <c r="O39" s="51"/>
      <c r="P39" s="51"/>
      <c r="X39" s="73"/>
      <c r="Y39" s="73"/>
    </row>
    <row r="40" spans="15:25">
      <c r="X40" s="73"/>
      <c r="Y40" s="73"/>
    </row>
    <row r="41" spans="15:25">
      <c r="O41" s="51"/>
      <c r="P41" s="51"/>
      <c r="X41" s="73"/>
      <c r="Y41" s="73"/>
    </row>
    <row r="42" spans="15:25">
      <c r="X42" s="73"/>
      <c r="Y42" s="73"/>
    </row>
    <row r="43" spans="15:25">
      <c r="X43" s="73"/>
      <c r="Y43" s="73"/>
    </row>
    <row r="44" spans="15:25">
      <c r="X44" s="73"/>
      <c r="Y44" s="73"/>
    </row>
    <row r="45" spans="15:25">
      <c r="X45" s="73"/>
      <c r="Y45" s="73"/>
    </row>
    <row r="46" spans="15:25">
      <c r="O46" s="51"/>
      <c r="P46" s="51"/>
      <c r="X46" s="73"/>
      <c r="Y46" s="73"/>
    </row>
    <row r="47" spans="15:25">
      <c r="Q47" s="51"/>
      <c r="X47" s="73"/>
      <c r="Y47" s="73"/>
    </row>
    <row r="48" spans="15:25">
      <c r="X48" s="73"/>
      <c r="Y48" s="73"/>
    </row>
    <row r="49" spans="15:25">
      <c r="X49" s="73"/>
      <c r="Y49" s="73"/>
    </row>
    <row r="50" spans="15:25">
      <c r="X50" s="73"/>
      <c r="Y50" s="73"/>
    </row>
    <row r="51" spans="15:25">
      <c r="X51" s="73"/>
      <c r="Y51" s="73"/>
    </row>
    <row r="52" spans="15:25">
      <c r="X52" s="73"/>
      <c r="Y52" s="73"/>
    </row>
    <row r="53" spans="15:25">
      <c r="O53" s="51"/>
      <c r="P53" s="51"/>
      <c r="X53" s="73"/>
      <c r="Y53" s="73"/>
    </row>
    <row r="54" spans="15:25">
      <c r="O54" s="51"/>
      <c r="P54" s="51"/>
      <c r="X54" s="73"/>
      <c r="Y54" s="73"/>
    </row>
    <row r="55" spans="15:25">
      <c r="O55" s="51"/>
      <c r="P55" s="51"/>
      <c r="Q55" s="51"/>
      <c r="X55" s="73"/>
      <c r="Y55" s="73"/>
    </row>
    <row r="56" spans="15:25">
      <c r="X56" s="73"/>
      <c r="Y56" s="73"/>
    </row>
    <row r="57" spans="15:25">
      <c r="X57" s="73"/>
      <c r="Y57" s="73"/>
    </row>
    <row r="58" spans="15:25">
      <c r="Q58" s="51"/>
      <c r="X58" s="73"/>
      <c r="Y58" s="73"/>
    </row>
    <row r="59" spans="15:25">
      <c r="X59" s="73"/>
      <c r="Y59" s="73"/>
    </row>
    <row r="60" spans="15:25">
      <c r="X60" s="73"/>
      <c r="Y60" s="73"/>
    </row>
    <row r="61" spans="15:25">
      <c r="W61" s="73"/>
      <c r="X61" s="73"/>
      <c r="Y61" s="73"/>
    </row>
    <row r="62" spans="15:25">
      <c r="Q62" s="51"/>
      <c r="X62" s="73"/>
      <c r="Y62" s="73"/>
    </row>
    <row r="63" spans="15:25">
      <c r="X63" s="73"/>
      <c r="Y63" s="73"/>
    </row>
    <row r="64" spans="15:25">
      <c r="X64" s="73"/>
      <c r="Y64" s="73"/>
    </row>
    <row r="65" spans="15:25">
      <c r="X65" s="73"/>
      <c r="Y65" s="73"/>
    </row>
    <row r="66" spans="15:25">
      <c r="O66" s="51"/>
      <c r="P66" s="51"/>
      <c r="X66" s="73"/>
      <c r="Y66" s="73"/>
    </row>
    <row r="67" spans="15:25">
      <c r="O67" s="51"/>
      <c r="P67" s="51"/>
      <c r="X67" s="73"/>
      <c r="Y67" s="73"/>
    </row>
    <row r="68" spans="15:25">
      <c r="O68" s="51"/>
      <c r="P68" s="51"/>
      <c r="X68" s="73"/>
      <c r="Y68" s="73"/>
    </row>
    <row r="69" spans="15:25">
      <c r="X69" s="73"/>
      <c r="Y69" s="73"/>
    </row>
    <row r="70" spans="15:25">
      <c r="X70" s="73"/>
      <c r="Y70" s="73"/>
    </row>
    <row r="71" spans="15:25">
      <c r="X71" s="73"/>
      <c r="Y71" s="73"/>
    </row>
    <row r="72" spans="15:25">
      <c r="X72" s="73"/>
      <c r="Y72" s="73"/>
    </row>
    <row r="73" spans="15:25">
      <c r="X73" s="73"/>
      <c r="Y73" s="73"/>
    </row>
    <row r="74" spans="15:25">
      <c r="X74" s="73"/>
      <c r="Y74" s="73"/>
    </row>
    <row r="75" spans="15:25">
      <c r="X75" s="73"/>
      <c r="Y75" s="73"/>
    </row>
    <row r="76" spans="15:25">
      <c r="O76" s="51"/>
      <c r="P76" s="51"/>
      <c r="X76" s="73"/>
      <c r="Y76" s="73"/>
    </row>
    <row r="77" spans="15:25">
      <c r="O77" s="51"/>
      <c r="P77" s="51"/>
      <c r="X77" s="73"/>
      <c r="Y77" s="73"/>
    </row>
    <row r="78" spans="15:25">
      <c r="O78" s="51"/>
      <c r="P78" s="51"/>
      <c r="Q78" s="51"/>
      <c r="X78" s="73"/>
      <c r="Y78" s="73"/>
    </row>
    <row r="79" spans="15:25">
      <c r="O79" s="51"/>
      <c r="P79" s="51"/>
      <c r="X79" s="73"/>
      <c r="Y79" s="73"/>
    </row>
    <row r="80" spans="15:25">
      <c r="X80" s="73"/>
      <c r="Y80" s="73"/>
    </row>
    <row r="81" spans="17:25">
      <c r="X81" s="73"/>
      <c r="Y81" s="73"/>
    </row>
    <row r="82" spans="17:25">
      <c r="X82" s="73"/>
      <c r="Y82" s="73"/>
    </row>
    <row r="83" spans="17:25">
      <c r="X83" s="73"/>
      <c r="Y83" s="73"/>
    </row>
    <row r="84" spans="17:25">
      <c r="X84" s="73"/>
      <c r="Y84" s="73"/>
    </row>
    <row r="85" spans="17:25">
      <c r="X85" s="73"/>
      <c r="Y85" s="73"/>
    </row>
    <row r="86" spans="17:25">
      <c r="X86" s="73"/>
      <c r="Y86" s="73"/>
    </row>
    <row r="87" spans="17:25">
      <c r="X87" s="73"/>
      <c r="Y87" s="73"/>
    </row>
    <row r="88" spans="17:25">
      <c r="X88" s="73"/>
      <c r="Y88" s="73"/>
    </row>
    <row r="89" spans="17:25">
      <c r="Q89" s="51"/>
      <c r="X89" s="73"/>
      <c r="Y89" s="73"/>
    </row>
    <row r="90" spans="17:25">
      <c r="X90" s="73"/>
      <c r="Y90" s="73"/>
    </row>
    <row r="91" spans="17:25">
      <c r="X91" s="73"/>
      <c r="Y91" s="73"/>
    </row>
    <row r="92" spans="17:25">
      <c r="X92" s="73"/>
      <c r="Y92" s="73"/>
    </row>
    <row r="93" spans="17:25">
      <c r="X93" s="73"/>
      <c r="Y93" s="73"/>
    </row>
    <row r="94" spans="17:25">
      <c r="X94" s="73"/>
      <c r="Y94" s="73"/>
    </row>
    <row r="95" spans="17:25">
      <c r="X95" s="73"/>
      <c r="Y95" s="73"/>
    </row>
    <row r="96" spans="17:25">
      <c r="X96" s="73"/>
      <c r="Y96" s="73"/>
    </row>
    <row r="97" spans="15:25">
      <c r="X97" s="73"/>
      <c r="Y97" s="73"/>
    </row>
    <row r="98" spans="15:25">
      <c r="X98" s="73"/>
      <c r="Y98" s="73"/>
    </row>
    <row r="99" spans="15:25">
      <c r="X99" s="73"/>
      <c r="Y99" s="73"/>
    </row>
    <row r="100" spans="15:25">
      <c r="X100" s="73"/>
      <c r="Y100" s="73"/>
    </row>
    <row r="101" spans="15:25">
      <c r="X101" s="73"/>
      <c r="Y101" s="73"/>
    </row>
    <row r="102" spans="15:25">
      <c r="X102" s="73"/>
      <c r="Y102" s="73"/>
    </row>
    <row r="103" spans="15:25">
      <c r="X103" s="73"/>
      <c r="Y103" s="73"/>
    </row>
    <row r="104" spans="15:25">
      <c r="Q104" s="51"/>
      <c r="X104" s="73"/>
      <c r="Y104" s="73"/>
    </row>
    <row r="105" spans="15:25">
      <c r="X105" s="73"/>
      <c r="Y105" s="73"/>
    </row>
    <row r="106" spans="15:25">
      <c r="X106" s="73"/>
      <c r="Y106" s="73"/>
    </row>
    <row r="107" spans="15:25">
      <c r="X107" s="73"/>
      <c r="Y107" s="73"/>
    </row>
    <row r="108" spans="15:25">
      <c r="X108" s="73"/>
      <c r="Y108" s="73"/>
    </row>
    <row r="109" spans="15:25">
      <c r="X109" s="73"/>
      <c r="Y109" s="73"/>
    </row>
    <row r="110" spans="15:25">
      <c r="X110" s="73"/>
      <c r="Y110" s="73"/>
    </row>
    <row r="111" spans="15:25">
      <c r="X111" s="73"/>
      <c r="Y111" s="73"/>
    </row>
    <row r="112" spans="15:25">
      <c r="O112" s="51"/>
      <c r="P112" s="51"/>
      <c r="X112" s="73"/>
      <c r="Y112" s="73"/>
    </row>
    <row r="113" spans="10:25">
      <c r="X113" s="73"/>
      <c r="Y113" s="73"/>
    </row>
    <row r="114" spans="10:25">
      <c r="X114" s="73"/>
      <c r="Y114" s="73"/>
    </row>
    <row r="115" spans="10:25">
      <c r="X115" s="73"/>
      <c r="Y115" s="73"/>
    </row>
    <row r="116" spans="10:25">
      <c r="X116" s="73"/>
      <c r="Y116" s="73"/>
    </row>
    <row r="117" spans="10:25">
      <c r="O117" s="51"/>
      <c r="P117" s="51"/>
      <c r="X117" s="73"/>
      <c r="Y117" s="73"/>
    </row>
    <row r="118" spans="10:25">
      <c r="X118" s="73"/>
      <c r="Y118" s="73"/>
    </row>
    <row r="119" spans="10:25">
      <c r="X119" s="73"/>
      <c r="Y119" s="73"/>
    </row>
    <row r="120" spans="10:25">
      <c r="X120" s="73"/>
      <c r="Y120" s="73"/>
    </row>
    <row r="121" spans="10:25">
      <c r="W121" s="73"/>
      <c r="X121" s="73"/>
      <c r="Y121" s="73"/>
    </row>
    <row r="122" spans="10:25">
      <c r="J122" s="48"/>
      <c r="X122" s="73"/>
      <c r="Y122" s="73"/>
    </row>
    <row r="123" spans="10:25">
      <c r="O123" s="51"/>
      <c r="P123" s="51"/>
      <c r="X123" s="73"/>
      <c r="Y123" s="73"/>
    </row>
    <row r="124" spans="10:25">
      <c r="O124" s="51"/>
      <c r="P124" s="51"/>
      <c r="X124" s="73"/>
      <c r="Y124" s="73"/>
    </row>
    <row r="125" spans="10:25">
      <c r="O125" s="51"/>
      <c r="P125" s="51"/>
      <c r="X125" s="73"/>
      <c r="Y125" s="73"/>
    </row>
    <row r="126" spans="10:25">
      <c r="X126" s="73"/>
      <c r="Y126" s="73"/>
    </row>
    <row r="127" spans="10:25">
      <c r="Q127" s="51"/>
      <c r="X127" s="73"/>
      <c r="Y127" s="73"/>
    </row>
    <row r="128" spans="10:25">
      <c r="X128" s="73"/>
      <c r="Y128" s="73"/>
    </row>
    <row r="129" spans="15:25">
      <c r="X129" s="73"/>
      <c r="Y129" s="73"/>
    </row>
    <row r="130" spans="15:25">
      <c r="X130" s="73"/>
      <c r="Y130" s="73"/>
    </row>
    <row r="131" spans="15:25">
      <c r="X131" s="73"/>
      <c r="Y131" s="73"/>
    </row>
    <row r="132" spans="15:25">
      <c r="X132" s="73"/>
      <c r="Y132" s="73"/>
    </row>
    <row r="133" spans="15:25">
      <c r="X133" s="73"/>
      <c r="Y133" s="73"/>
    </row>
    <row r="134" spans="15:25">
      <c r="X134" s="73"/>
      <c r="Y134" s="73"/>
    </row>
    <row r="135" spans="15:25">
      <c r="X135" s="73"/>
      <c r="Y135" s="73"/>
    </row>
    <row r="136" spans="15:25">
      <c r="X136" s="73"/>
      <c r="Y136" s="73"/>
    </row>
    <row r="137" spans="15:25">
      <c r="X137" s="73"/>
      <c r="Y137" s="73"/>
    </row>
    <row r="138" spans="15:25">
      <c r="X138" s="73"/>
      <c r="Y138" s="73"/>
    </row>
    <row r="139" spans="15:25">
      <c r="Q139" s="51"/>
      <c r="X139" s="73"/>
      <c r="Y139" s="73"/>
    </row>
    <row r="140" spans="15:25">
      <c r="X140" s="73"/>
      <c r="Y140" s="73"/>
    </row>
    <row r="141" spans="15:25">
      <c r="X141" s="73"/>
      <c r="Y141" s="73"/>
    </row>
    <row r="142" spans="15:25">
      <c r="X142" s="73"/>
      <c r="Y142" s="73"/>
    </row>
    <row r="143" spans="15:25">
      <c r="Q143" s="51"/>
      <c r="X143" s="73"/>
      <c r="Y143" s="73"/>
    </row>
    <row r="144" spans="15:25">
      <c r="O144" s="51"/>
      <c r="P144" s="51"/>
      <c r="X144" s="73"/>
      <c r="Y144" s="73"/>
    </row>
    <row r="145" spans="15:25">
      <c r="O145" s="51"/>
      <c r="P145" s="51"/>
      <c r="Q145" s="51"/>
      <c r="X145" s="73"/>
      <c r="Y145" s="73"/>
    </row>
    <row r="146" spans="15:25">
      <c r="O146" s="51"/>
      <c r="P146" s="51"/>
      <c r="X146" s="73"/>
      <c r="Y146" s="73"/>
    </row>
    <row r="147" spans="15:25">
      <c r="X147" s="73"/>
      <c r="Y147" s="73"/>
    </row>
    <row r="148" spans="15:25">
      <c r="Q148" s="51"/>
      <c r="X148" s="73"/>
      <c r="Y148" s="73"/>
    </row>
    <row r="149" spans="15:25">
      <c r="X149" s="73"/>
      <c r="Y149" s="73"/>
    </row>
    <row r="150" spans="15:25">
      <c r="X150" s="73"/>
      <c r="Y150" s="73"/>
    </row>
    <row r="151" spans="15:25">
      <c r="X151" s="73"/>
      <c r="Y151" s="73"/>
    </row>
    <row r="152" spans="15:25">
      <c r="X152" s="73"/>
      <c r="Y152" s="73"/>
    </row>
  </sheetData>
  <sortState xmlns:xlrd2="http://schemas.microsoft.com/office/spreadsheetml/2017/richdata2" ref="A2:W17">
    <sortCondition ref="A2:A1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701D7-111C-4EC0-A18B-A2002C3F2FD6}">
  <sheetPr codeName="Sheet3"/>
  <dimension ref="A1:G17"/>
  <sheetViews>
    <sheetView workbookViewId="0">
      <selection activeCell="D4" sqref="D4"/>
    </sheetView>
  </sheetViews>
  <sheetFormatPr defaultColWidth="8.6328125" defaultRowHeight="14.5"/>
  <cols>
    <col min="1" max="1" width="14.453125" style="1" customWidth="1"/>
    <col min="2" max="2" width="47.453125" style="1" customWidth="1"/>
    <col min="3" max="3" width="26.453125" style="1" customWidth="1"/>
    <col min="4" max="4" width="23.90625" style="1" bestFit="1" customWidth="1"/>
    <col min="5" max="16384" width="8.6328125" style="1"/>
  </cols>
  <sheetData>
    <row r="1" spans="1:7" s="2" customFormat="1" ht="43.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7" ht="29">
      <c r="A2" s="1" t="s">
        <v>18</v>
      </c>
      <c r="B2" s="1" t="s">
        <v>19</v>
      </c>
      <c r="C2" s="1" t="s">
        <v>18</v>
      </c>
      <c r="D2" s="1" t="s">
        <v>18</v>
      </c>
      <c r="E2" s="1" t="s">
        <v>126</v>
      </c>
      <c r="F2" s="1" t="s">
        <v>18</v>
      </c>
    </row>
    <row r="3" spans="1:7">
      <c r="A3" s="1" t="s">
        <v>6</v>
      </c>
      <c r="B3" s="1" t="s">
        <v>7</v>
      </c>
      <c r="C3" s="1" t="s">
        <v>8</v>
      </c>
      <c r="D3" s="1" t="s">
        <v>9</v>
      </c>
      <c r="E3" s="1" t="s">
        <v>6</v>
      </c>
      <c r="F3" s="1" t="s">
        <v>6</v>
      </c>
    </row>
    <row r="4" spans="1:7">
      <c r="A4" s="1" t="s">
        <v>32</v>
      </c>
      <c r="B4" s="1" t="s">
        <v>33</v>
      </c>
      <c r="C4" s="1" t="s">
        <v>34</v>
      </c>
      <c r="D4" s="1" t="s">
        <v>35</v>
      </c>
      <c r="E4" s="1" t="s">
        <v>127</v>
      </c>
      <c r="F4" s="1" t="s">
        <v>32</v>
      </c>
    </row>
    <row r="5" spans="1:7">
      <c r="A5" s="1" t="s">
        <v>51</v>
      </c>
      <c r="B5" s="1" t="s">
        <v>52</v>
      </c>
      <c r="C5" s="1" t="s">
        <v>53</v>
      </c>
      <c r="D5" s="1" t="s">
        <v>51</v>
      </c>
      <c r="E5" s="1" t="s">
        <v>67</v>
      </c>
      <c r="F5" s="1" t="s">
        <v>67</v>
      </c>
    </row>
    <row r="6" spans="1:7">
      <c r="A6" s="1" t="s">
        <v>36</v>
      </c>
      <c r="B6" s="1" t="s">
        <v>37</v>
      </c>
      <c r="C6" s="1" t="s">
        <v>38</v>
      </c>
      <c r="D6" s="1" t="s">
        <v>39</v>
      </c>
      <c r="E6" s="1" t="s">
        <v>128</v>
      </c>
      <c r="F6" s="1" t="s">
        <v>36</v>
      </c>
    </row>
    <row r="7" spans="1:7">
      <c r="A7" s="1" t="s">
        <v>20</v>
      </c>
      <c r="B7" s="1" t="s">
        <v>21</v>
      </c>
      <c r="C7" s="1" t="s">
        <v>22</v>
      </c>
      <c r="D7" s="1" t="s">
        <v>20</v>
      </c>
      <c r="E7" s="1" t="s">
        <v>20</v>
      </c>
      <c r="F7" s="1" t="s">
        <v>20</v>
      </c>
    </row>
    <row r="8" spans="1:7">
      <c r="A8" s="1" t="s">
        <v>61</v>
      </c>
      <c r="B8" s="1" t="s">
        <v>63</v>
      </c>
      <c r="C8" s="1" t="s">
        <v>58</v>
      </c>
      <c r="D8" t="s">
        <v>62</v>
      </c>
      <c r="E8" t="s">
        <v>61</v>
      </c>
      <c r="F8" t="s">
        <v>62</v>
      </c>
    </row>
    <row r="9" spans="1:7">
      <c r="A9" s="1" t="s">
        <v>10</v>
      </c>
      <c r="B9" s="1" t="s">
        <v>11</v>
      </c>
      <c r="C9" s="1" t="s">
        <v>12</v>
      </c>
      <c r="D9" s="1" t="s">
        <v>13</v>
      </c>
      <c r="E9" s="1" t="s">
        <v>129</v>
      </c>
      <c r="F9" s="1" t="s">
        <v>10</v>
      </c>
    </row>
    <row r="10" spans="1:7">
      <c r="A10" s="1" t="s">
        <v>14</v>
      </c>
      <c r="B10" s="1" t="s">
        <v>15</v>
      </c>
      <c r="C10" s="1" t="s">
        <v>16</v>
      </c>
      <c r="D10" s="1" t="s">
        <v>17</v>
      </c>
      <c r="E10" s="1" t="s">
        <v>130</v>
      </c>
      <c r="F10" s="1" t="s">
        <v>14</v>
      </c>
    </row>
    <row r="11" spans="1:7" ht="29">
      <c r="A11" s="1" t="s">
        <v>28</v>
      </c>
      <c r="B11" s="1" t="s">
        <v>29</v>
      </c>
      <c r="C11" s="1" t="s">
        <v>30</v>
      </c>
      <c r="D11" s="1" t="s">
        <v>31</v>
      </c>
      <c r="E11" s="1" t="s">
        <v>131</v>
      </c>
      <c r="F11" s="1" t="s">
        <v>28</v>
      </c>
    </row>
    <row r="12" spans="1:7" ht="29">
      <c r="A12" s="1" t="s">
        <v>23</v>
      </c>
      <c r="B12" s="1" t="s">
        <v>24</v>
      </c>
      <c r="C12" s="1" t="s">
        <v>25</v>
      </c>
      <c r="D12" s="1" t="s">
        <v>26</v>
      </c>
      <c r="E12" s="1" t="s">
        <v>132</v>
      </c>
      <c r="F12" s="1" t="s">
        <v>23</v>
      </c>
      <c r="G12" s="1" t="s">
        <v>27</v>
      </c>
    </row>
    <row r="13" spans="1:7" ht="29">
      <c r="A13" s="1" t="s">
        <v>54</v>
      </c>
      <c r="B13" s="1" t="s">
        <v>55</v>
      </c>
      <c r="C13" s="1" t="s">
        <v>56</v>
      </c>
      <c r="D13" s="1" t="s">
        <v>57</v>
      </c>
      <c r="E13" s="1" t="s">
        <v>133</v>
      </c>
      <c r="F13" s="1" t="s">
        <v>54</v>
      </c>
    </row>
    <row r="14" spans="1:7">
      <c r="A14" s="1" t="s">
        <v>47</v>
      </c>
      <c r="B14" s="1" t="s">
        <v>48</v>
      </c>
      <c r="C14" s="1" t="s">
        <v>49</v>
      </c>
      <c r="D14" s="1" t="s">
        <v>50</v>
      </c>
      <c r="E14" s="1" t="s">
        <v>68</v>
      </c>
      <c r="F14" s="1" t="s">
        <v>68</v>
      </c>
    </row>
    <row r="15" spans="1:7">
      <c r="A15" s="1" t="s">
        <v>40</v>
      </c>
      <c r="B15" s="1" t="s">
        <v>41</v>
      </c>
      <c r="C15" s="1" t="s">
        <v>42</v>
      </c>
      <c r="D15" s="1" t="s">
        <v>43</v>
      </c>
      <c r="E15" s="1" t="s">
        <v>134</v>
      </c>
      <c r="F15" s="1" t="s">
        <v>40</v>
      </c>
    </row>
    <row r="16" spans="1:7" ht="29">
      <c r="A16" s="1" t="s">
        <v>44</v>
      </c>
      <c r="B16" s="1" t="s">
        <v>45</v>
      </c>
      <c r="C16" s="1" t="s">
        <v>46</v>
      </c>
      <c r="D16" s="1" t="s">
        <v>44</v>
      </c>
      <c r="E16" s="1" t="s">
        <v>69</v>
      </c>
      <c r="F16" s="1" t="s">
        <v>69</v>
      </c>
    </row>
    <row r="17" spans="1:6">
      <c r="A17" s="1" t="s">
        <v>65</v>
      </c>
      <c r="D17" s="1" t="s">
        <v>65</v>
      </c>
      <c r="E17" s="1" t="s">
        <v>70</v>
      </c>
      <c r="F17" s="1" t="s">
        <v>70</v>
      </c>
    </row>
  </sheetData>
  <sheetProtection algorithmName="SHA-512" hashValue="NIWYIm9lPotS0dZh7GR/4u6Vc+Pi9mBm4CHlzV+r2FiytdByr/9fzYMKphbMXhvDgbmaZj/4g4u3+WfqWz53bg==" saltValue="pqgpvwv6/62yYmQRBwhU7w==" spinCount="100000" sheet="1" objects="1" scenarios="1"/>
  <sortState xmlns:xlrd2="http://schemas.microsoft.com/office/spreadsheetml/2017/richdata2" ref="A2:G16">
    <sortCondition ref="A2:A16"/>
  </sortState>
  <hyperlinks>
    <hyperlink ref="B8" r:id="rId1" display="mailto:gstin.lufthansa@ssiipl.com" xr:uid="{24C714D1-41F3-4F20-854B-BD4C2821C515}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BC58C-A78A-43DF-9B50-C9C41F859F4A}">
  <sheetPr codeName="Sheet4"/>
  <dimension ref="A1:E19"/>
  <sheetViews>
    <sheetView tabSelected="1" workbookViewId="0">
      <selection activeCell="C9" sqref="C9"/>
    </sheetView>
  </sheetViews>
  <sheetFormatPr defaultRowHeight="14.5"/>
  <cols>
    <col min="1" max="2" width="22.90625" bestFit="1" customWidth="1"/>
    <col min="3" max="3" width="15" bestFit="1" customWidth="1"/>
  </cols>
  <sheetData>
    <row r="1" spans="1:2">
      <c r="A1" t="s">
        <v>174</v>
      </c>
      <c r="B1" t="s">
        <v>175</v>
      </c>
    </row>
    <row r="2" spans="1:2">
      <c r="A2" t="s">
        <v>59</v>
      </c>
    </row>
    <row r="3" spans="1:2">
      <c r="A3" t="s">
        <v>60</v>
      </c>
    </row>
    <row r="4" spans="1:2">
      <c r="A4" t="s">
        <v>66</v>
      </c>
    </row>
    <row r="5" spans="1:2">
      <c r="A5" t="s">
        <v>169</v>
      </c>
      <c r="B5" s="1"/>
    </row>
    <row r="6" spans="1:2">
      <c r="A6" t="s">
        <v>170</v>
      </c>
    </row>
    <row r="7" spans="1:2">
      <c r="A7" t="s">
        <v>171</v>
      </c>
    </row>
    <row r="8" spans="1:2">
      <c r="A8" t="s">
        <v>172</v>
      </c>
    </row>
    <row r="9" spans="1:2">
      <c r="A9" t="s">
        <v>173</v>
      </c>
    </row>
    <row r="10" spans="1:2">
      <c r="A10" t="s">
        <v>179</v>
      </c>
      <c r="B10" s="50" t="s">
        <v>168</v>
      </c>
    </row>
    <row r="12" spans="1:2">
      <c r="A12" t="s">
        <v>176</v>
      </c>
      <c r="B12">
        <v>0</v>
      </c>
    </row>
    <row r="13" spans="1:2">
      <c r="A13" t="s">
        <v>180</v>
      </c>
    </row>
    <row r="14" spans="1:2">
      <c r="A14" t="s">
        <v>181</v>
      </c>
    </row>
    <row r="15" spans="1:2">
      <c r="A15" t="s">
        <v>182</v>
      </c>
    </row>
    <row r="18" spans="1:5" hidden="1">
      <c r="A18" t="s">
        <v>231</v>
      </c>
      <c r="B18" t="s">
        <v>231</v>
      </c>
    </row>
    <row r="19" spans="1:5">
      <c r="E19" t="s">
        <v>231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MJV</vt:lpstr>
      <vt:lpstr>MJV Macro</vt:lpstr>
      <vt:lpstr>Report</vt:lpstr>
      <vt:lpstr>Airline_Master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2020-12-14T08:52:41Z</dcterms:modified>
</cp:coreProperties>
</file>